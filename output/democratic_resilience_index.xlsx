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gression" sheetId="3" state="visible" r:id="rId3"/>
    <sheet xmlns:r="http://schemas.openxmlformats.org/officeDocument/2006/relationships" name="Germany" sheetId="4" state="visible" r:id="rId4"/>
    <sheet xmlns:r="http://schemas.openxmlformats.org/officeDocument/2006/relationships" name="Hungary" sheetId="5" state="visible" r:id="rId5"/>
    <sheet xmlns:r="http://schemas.openxmlformats.org/officeDocument/2006/relationships" name="Venezue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Germany: index vs V-Dem components</a:t>
            </a:r>
          </a:p>
        </rich>
      </tx>
    </title>
    <plotArea>
      <lineChart>
        <grouping val="standard"/>
        <ser>
          <idx val="0"/>
          <order val="0"/>
          <tx>
            <strRef>
              <f>'Germany'!B1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'Germany'!$A$2:$A$21</f>
            </numRef>
          </cat>
          <val>
            <numRef>
              <f>'Germany'!$B$2:$B$21</f>
            </numRef>
          </val>
        </ser>
        <ser>
          <idx val="1"/>
          <order val="1"/>
          <tx>
            <strRef>
              <f>'Germany'!C1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'Germany'!$A$2:$A$21</f>
            </numRef>
          </cat>
          <val>
            <numRef>
              <f>'Germany'!$C$2:$C$21</f>
            </numRef>
          </val>
        </ser>
        <ser>
          <idx val="2"/>
          <order val="2"/>
          <tx>
            <strRef>
              <f>'Germany'!I1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'Germany'!$A$2:$A$21</f>
            </numRef>
          </cat>
          <val>
            <numRef>
              <f>'Germany'!$I$2:$I$21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0-1 scale / index 0-100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Hungary: index vs V-Dem components</a:t>
            </a:r>
          </a:p>
        </rich>
      </tx>
    </title>
    <plotArea>
      <lineChart>
        <grouping val="standard"/>
        <ser>
          <idx val="0"/>
          <order val="0"/>
          <tx>
            <strRef>
              <f>'Hungary'!B1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'Hungary'!$A$2:$A$35</f>
            </numRef>
          </cat>
          <val>
            <numRef>
              <f>'Hungary'!$B$2:$B$35</f>
            </numRef>
          </val>
        </ser>
        <ser>
          <idx val="1"/>
          <order val="1"/>
          <tx>
            <strRef>
              <f>'Hungary'!C1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'Hungary'!$A$2:$A$35</f>
            </numRef>
          </cat>
          <val>
            <numRef>
              <f>'Hungary'!$C$2:$C$35</f>
            </numRef>
          </val>
        </ser>
        <ser>
          <idx val="2"/>
          <order val="2"/>
          <tx>
            <strRef>
              <f>'Hungary'!I1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'Hungary'!$A$2:$A$35</f>
            </numRef>
          </cat>
          <val>
            <numRef>
              <f>'Hungary'!$I$2:$I$35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0-1 scale / index 0-100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Venezuela: index vs V-Dem components</a:t>
            </a:r>
          </a:p>
        </rich>
      </tx>
    </title>
    <plotArea>
      <lineChart>
        <grouping val="standard"/>
        <ser>
          <idx val="0"/>
          <order val="0"/>
          <tx>
            <strRef>
              <f>'Venezuela'!B1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'Venezuela'!$A$2:$A$35</f>
            </numRef>
          </cat>
          <val>
            <numRef>
              <f>'Venezuela'!$B$2:$B$35</f>
            </numRef>
          </val>
        </ser>
        <ser>
          <idx val="1"/>
          <order val="1"/>
          <tx>
            <strRef>
              <f>'Venezuela'!C1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'Venezuela'!$A$2:$A$35</f>
            </numRef>
          </cat>
          <val>
            <numRef>
              <f>'Venezuela'!$C$2:$C$35</f>
            </numRef>
          </val>
        </ser>
        <ser>
          <idx val="2"/>
          <order val="2"/>
          <tx>
            <strRef>
              <f>'Venezuela'!I1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'Venezuela'!$A$2:$A$35</f>
            </numRef>
          </cat>
          <val>
            <numRef>
              <f>'Venezuela'!$I$2:$I$35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0-1 scale / index 0-100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75" customWidth="1" min="3" max="3"/>
  </cols>
  <sheetData>
    <row r="1">
      <c r="A1" s="1" t="inlineStr">
        <is>
          <t>Component</t>
        </is>
      </c>
      <c r="B1" s="1" t="inlineStr">
        <is>
          <t>Weight (edit yellow cells)</t>
        </is>
      </c>
      <c r="C1" s="1" t="inlineStr">
        <is>
          <t>Meaning</t>
        </is>
      </c>
    </row>
    <row r="2">
      <c r="A2" t="inlineStr">
        <is>
          <t>polyarchy</t>
        </is>
      </c>
      <c r="B2" s="2" t="n">
        <v>0.3</v>
      </c>
      <c r="C2" t="inlineStr">
        <is>
          <t>V-Dem electoral democracy index (0-1)</t>
        </is>
      </c>
    </row>
    <row r="3">
      <c r="A3" t="inlineStr">
        <is>
          <t>libdem</t>
        </is>
      </c>
      <c r="B3" s="2" t="n">
        <v>0.3</v>
      </c>
      <c r="C3" t="inlineStr">
        <is>
          <t>V-Dem liberal democracy index (0-1): rights + constraints on the executive</t>
        </is>
      </c>
    </row>
    <row r="4">
      <c r="A4" t="inlineStr">
        <is>
          <t>hdi</t>
        </is>
      </c>
      <c r="B4" s="2" t="n">
        <v>0.2</v>
      </c>
      <c r="C4" t="inlineStr">
        <is>
          <t>Human Development Index level (0-1)</t>
        </is>
      </c>
    </row>
    <row r="5">
      <c r="A5" t="inlineStr">
        <is>
          <t>hdi_adj</t>
        </is>
      </c>
      <c r="B5" s="2" t="n">
        <v>0.2</v>
      </c>
      <c r="C5" t="inlineStr">
        <is>
          <t>0.5 + (actual libdem - libdem predicted from HDI), clipped 0-1</t>
        </is>
      </c>
    </row>
    <row r="6">
      <c r="A6" t="inlineStr">
        <is>
          <t>check: sum should be 1</t>
        </is>
      </c>
      <c r="B6">
        <f>SUM(B2:B5)</f>
        <v/>
      </c>
    </row>
    <row r="8">
      <c r="A8" t="inlineStr">
        <is>
          <t>strain threshold (GDP pc yoy)</t>
        </is>
      </c>
      <c r="B8" s="2" t="n">
        <v>-0.02</v>
      </c>
      <c r="C8" t="inlineStr">
        <is>
          <t>yoy change at/below this flags a 'strain year'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country</t>
        </is>
      </c>
      <c r="B1" s="1" t="inlineStr">
        <is>
          <t>strain_years</t>
        </is>
      </c>
      <c r="C1" s="1" t="inlineStr">
        <is>
          <t>fwd3y_change_after_strain</t>
        </is>
      </c>
      <c r="D1" s="1" t="inlineStr">
        <is>
          <t>fwd3y_change_after_non_strain</t>
        </is>
      </c>
      <c r="E1" s="1" t="inlineStr">
        <is>
          <t>n_strain</t>
        </is>
      </c>
      <c r="F1" s="1" t="inlineStr">
        <is>
          <t>index_min</t>
        </is>
      </c>
      <c r="G1" s="1" t="inlineStr">
        <is>
          <t>index_min_year</t>
        </is>
      </c>
    </row>
    <row r="2">
      <c r="A2" t="inlineStr">
        <is>
          <t>Germany</t>
        </is>
      </c>
      <c r="B2" t="inlineStr">
        <is>
          <t>1923, 1931, 1932</t>
        </is>
      </c>
      <c r="C2" t="n">
        <v>-24.05</v>
      </c>
      <c r="D2" t="n">
        <v>-3.93</v>
      </c>
      <c r="E2" t="n">
        <v>3</v>
      </c>
      <c r="F2" t="n">
        <v>12.7</v>
      </c>
      <c r="G2" t="n">
        <v>1935</v>
      </c>
    </row>
    <row r="3">
      <c r="A3" t="inlineStr">
        <is>
          <t>Hungary</t>
        </is>
      </c>
      <c r="B3" t="inlineStr">
        <is>
          <t>1991, 2009, 2020</t>
        </is>
      </c>
      <c r="C3" t="n">
        <v>-3.94</v>
      </c>
      <c r="D3" t="n">
        <v>-3.22</v>
      </c>
      <c r="E3" t="n">
        <v>3</v>
      </c>
      <c r="F3" t="n">
        <v>44.8</v>
      </c>
      <c r="G3" t="n">
        <v>2023</v>
      </c>
    </row>
    <row r="4">
      <c r="A4" t="inlineStr">
        <is>
          <t>Venezuela</t>
        </is>
      </c>
      <c r="B4" t="inlineStr">
        <is>
          <t>1994, 1999, 2002, 2003, 2009, 2014, 2015, 2016, 2017, 2018, 2019, 2020</t>
        </is>
      </c>
      <c r="C4" t="n">
        <v>-3.46</v>
      </c>
      <c r="D4" t="n">
        <v>-4.99</v>
      </c>
      <c r="E4" t="n">
        <v>12</v>
      </c>
      <c r="F4" t="n">
        <v>24.2</v>
      </c>
      <c r="G4" t="n">
        <v>2023</v>
      </c>
    </row>
    <row r="6">
      <c r="A6" t="inlineStr">
        <is>
          <t>Static values computed in python at default weights; per-country sheets recalculate live when weights change.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>
      <c r="A1" s="1" t="inlineStr">
        <is>
          <t>Model: libdem = intercept + slope * HDI (pooled OLS, all country-years)</t>
        </is>
      </c>
      <c r="B1" s="1" t="inlineStr">
        <is>
          <t>intercept</t>
        </is>
      </c>
      <c r="C1" s="1" t="inlineStr">
        <is>
          <t>slope</t>
        </is>
      </c>
      <c r="D1" s="1" t="inlineStr">
        <is>
          <t>R^2</t>
        </is>
      </c>
      <c r="E1" s="1" t="inlineStr">
        <is>
          <t>n</t>
        </is>
      </c>
    </row>
    <row r="2">
      <c r="A2" t="inlineStr">
        <is>
          <t>historical (Escosura HDI, 1870-2020)</t>
        </is>
      </c>
      <c r="B2" t="n">
        <v>-0.03309482434366463</v>
      </c>
      <c r="C2" t="n">
        <v>1.198979924776245</v>
      </c>
      <c r="D2" t="n">
        <v>0.7897994103392233</v>
      </c>
      <c r="E2" t="n">
        <v>3030</v>
      </c>
    </row>
    <row r="3">
      <c r="A3" t="inlineStr">
        <is>
          <t>modern (UNDP HDI, 1990-2023)</t>
        </is>
      </c>
      <c r="B3" t="n">
        <v>-0.229811821412984</v>
      </c>
      <c r="C3" t="n">
        <v>0.9421931565046464</v>
      </c>
      <c r="D3" t="n">
        <v>0.3543673854208011</v>
      </c>
      <c r="E3" t="n">
        <v>5584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year</t>
        </is>
      </c>
      <c r="B1" s="1" t="inlineStr">
        <is>
          <t>polyarchy</t>
        </is>
      </c>
      <c r="C1" s="1" t="inlineStr">
        <is>
          <t>libdem</t>
        </is>
      </c>
      <c r="D1" s="1" t="inlineStr">
        <is>
          <t>hdi</t>
        </is>
      </c>
      <c r="E1" s="1" t="inlineStr">
        <is>
          <t>hdi_source</t>
        </is>
      </c>
      <c r="F1" s="1" t="inlineStr">
        <is>
          <t>libdem_pred</t>
        </is>
      </c>
      <c r="G1" s="1" t="inlineStr">
        <is>
          <t>resid</t>
        </is>
      </c>
      <c r="H1" s="1" t="inlineStr">
        <is>
          <t>hdi_adj</t>
        </is>
      </c>
      <c r="I1" s="1" t="inlineStr">
        <is>
          <t>INDEX</t>
        </is>
      </c>
      <c r="J1" s="1" t="inlineStr">
        <is>
          <t>index_chg_3y</t>
        </is>
      </c>
      <c r="K1" s="1" t="inlineStr">
        <is>
          <t>gdp_pc</t>
        </is>
      </c>
      <c r="L1" s="1" t="inlineStr">
        <is>
          <t>gdp_yoy</t>
        </is>
      </c>
      <c r="M1" s="1" t="inlineStr">
        <is>
          <t>strain</t>
        </is>
      </c>
    </row>
    <row r="2">
      <c r="A2" t="n">
        <v>1919</v>
      </c>
      <c r="B2" t="n">
        <v>0.577</v>
      </c>
      <c r="C2" t="n">
        <v>0.456</v>
      </c>
      <c r="D2" t="n">
        <v>0.30130361</v>
      </c>
      <c r="E2" t="inlineStr">
        <is>
          <t>Escosura-interp</t>
        </is>
      </c>
      <c r="F2">
        <f>Regression!$B$2+Regression!$C$2*D2</f>
        <v/>
      </c>
      <c r="G2">
        <f>C2-F2</f>
        <v/>
      </c>
      <c r="H2">
        <f>MAX(0,MIN(1,0.5+G2))</f>
        <v/>
      </c>
      <c r="I2">
        <f>100*(Weights!$B$2*B2+Weights!$B$3*C2+Weights!$B$4*D2+Weights!$B$5*H2)</f>
        <v/>
      </c>
      <c r="K2" t="n">
        <v>4122</v>
      </c>
    </row>
    <row r="3">
      <c r="A3" t="n">
        <v>1920</v>
      </c>
      <c r="B3" t="n">
        <v>0.635</v>
      </c>
      <c r="C3" t="n">
        <v>0.506</v>
      </c>
      <c r="D3" t="n">
        <v>0.3085047033333334</v>
      </c>
      <c r="E3" t="inlineStr">
        <is>
          <t>Escosura-interp</t>
        </is>
      </c>
      <c r="F3">
        <f>Regression!$B$2+Regression!$C$2*D3</f>
        <v/>
      </c>
      <c r="G3">
        <f>C3-F3</f>
        <v/>
      </c>
      <c r="H3">
        <f>MAX(0,MIN(1,0.5+G3))</f>
        <v/>
      </c>
      <c r="I3">
        <f>100*(Weights!$B$2*B3+Weights!$B$3*C3+Weights!$B$4*D3+Weights!$B$5*H3)</f>
        <v/>
      </c>
      <c r="K3" t="n">
        <v>4457</v>
      </c>
      <c r="L3">
        <f>K3/K2-1</f>
        <v/>
      </c>
      <c r="M3">
        <f>IF(L3&lt;=Weights!$B$8,1,0)</f>
        <v/>
      </c>
    </row>
    <row r="4">
      <c r="A4" t="n">
        <v>1921</v>
      </c>
      <c r="B4" t="n">
        <v>0.646</v>
      </c>
      <c r="C4" t="n">
        <v>0.515</v>
      </c>
      <c r="D4" t="n">
        <v>0.3157057966666666</v>
      </c>
      <c r="E4" t="inlineStr">
        <is>
          <t>Escosura-interp</t>
        </is>
      </c>
      <c r="F4">
        <f>Regression!$B$2+Regression!$C$2*D4</f>
        <v/>
      </c>
      <c r="G4">
        <f>C4-F4</f>
        <v/>
      </c>
      <c r="H4">
        <f>MAX(0,MIN(1,0.5+G4))</f>
        <v/>
      </c>
      <c r="I4">
        <f>100*(Weights!$B$2*B4+Weights!$B$3*C4+Weights!$B$4*D4+Weights!$B$5*H4)</f>
        <v/>
      </c>
      <c r="K4" t="n">
        <v>4906</v>
      </c>
      <c r="L4">
        <f>K4/K3-1</f>
        <v/>
      </c>
      <c r="M4">
        <f>IF(L4&lt;=Weights!$B$8,1,0)</f>
        <v/>
      </c>
    </row>
    <row r="5">
      <c r="A5" t="n">
        <v>1922</v>
      </c>
      <c r="B5" t="n">
        <v>0.642</v>
      </c>
      <c r="C5" t="n">
        <v>0.511</v>
      </c>
      <c r="D5" t="n">
        <v>0.32290689</v>
      </c>
      <c r="E5" t="inlineStr">
        <is>
          <t>Escosura-interp</t>
        </is>
      </c>
      <c r="F5">
        <f>Regression!$B$2+Regression!$C$2*D5</f>
        <v/>
      </c>
      <c r="G5">
        <f>C5-F5</f>
        <v/>
      </c>
      <c r="H5">
        <f>MAX(0,MIN(1,0.5+G5))</f>
        <v/>
      </c>
      <c r="I5">
        <f>100*(Weights!$B$2*B5+Weights!$B$3*C5+Weights!$B$4*D5+Weights!$B$5*H5)</f>
        <v/>
      </c>
      <c r="J5">
        <f>I5-I2</f>
        <v/>
      </c>
      <c r="K5" t="n">
        <v>5310</v>
      </c>
      <c r="L5">
        <f>K5/K4-1</f>
        <v/>
      </c>
      <c r="M5">
        <f>IF(L5&lt;=Weights!$B$8,1,0)</f>
        <v/>
      </c>
    </row>
    <row r="6">
      <c r="A6" t="n">
        <v>1923</v>
      </c>
      <c r="B6" t="n">
        <v>0.629</v>
      </c>
      <c r="C6" t="n">
        <v>0.503</v>
      </c>
      <c r="D6" t="n">
        <v>0.3301079833333334</v>
      </c>
      <c r="E6" t="inlineStr">
        <is>
          <t>Escosura-interp</t>
        </is>
      </c>
      <c r="F6">
        <f>Regression!$B$2+Regression!$C$2*D6</f>
        <v/>
      </c>
      <c r="G6">
        <f>C6-F6</f>
        <v/>
      </c>
      <c r="H6">
        <f>MAX(0,MIN(1,0.5+G6))</f>
        <v/>
      </c>
      <c r="I6">
        <f>100*(Weights!$B$2*B6+Weights!$B$3*C6+Weights!$B$4*D6+Weights!$B$5*H6)</f>
        <v/>
      </c>
      <c r="J6">
        <f>I6-I3</f>
        <v/>
      </c>
      <c r="K6" t="n">
        <v>4383</v>
      </c>
      <c r="L6">
        <f>K6/K5-1</f>
        <v/>
      </c>
      <c r="M6">
        <f>IF(L6&lt;=Weights!$B$8,1,0)</f>
        <v/>
      </c>
    </row>
    <row r="7">
      <c r="A7" t="n">
        <v>1924</v>
      </c>
      <c r="B7" t="n">
        <v>0.614</v>
      </c>
      <c r="C7" t="n">
        <v>0.491</v>
      </c>
      <c r="D7" t="n">
        <v>0.3373090766666667</v>
      </c>
      <c r="E7" t="inlineStr">
        <is>
          <t>Escosura-interp</t>
        </is>
      </c>
      <c r="F7">
        <f>Regression!$B$2+Regression!$C$2*D7</f>
        <v/>
      </c>
      <c r="G7">
        <f>C7-F7</f>
        <v/>
      </c>
      <c r="H7">
        <f>MAX(0,MIN(1,0.5+G7))</f>
        <v/>
      </c>
      <c r="I7">
        <f>100*(Weights!$B$2*B7+Weights!$B$3*C7+Weights!$B$4*D7+Weights!$B$5*H7)</f>
        <v/>
      </c>
      <c r="J7">
        <f>I7-I4</f>
        <v/>
      </c>
      <c r="K7" t="n">
        <v>5099</v>
      </c>
      <c r="L7">
        <f>K7/K6-1</f>
        <v/>
      </c>
      <c r="M7">
        <f>IF(L7&lt;=Weights!$B$8,1,0)</f>
        <v/>
      </c>
    </row>
    <row r="8">
      <c r="A8" t="n">
        <v>1925</v>
      </c>
      <c r="B8" t="n">
        <v>0.604</v>
      </c>
      <c r="C8" t="n">
        <v>0.482</v>
      </c>
      <c r="D8" t="n">
        <v>0.34451017</v>
      </c>
      <c r="E8" t="inlineStr">
        <is>
          <t>Escosura-interp</t>
        </is>
      </c>
      <c r="F8">
        <f>Regression!$B$2+Regression!$C$2*D8</f>
        <v/>
      </c>
      <c r="G8">
        <f>C8-F8</f>
        <v/>
      </c>
      <c r="H8">
        <f>MAX(0,MIN(1,0.5+G8))</f>
        <v/>
      </c>
      <c r="I8">
        <f>100*(Weights!$B$2*B8+Weights!$B$3*C8+Weights!$B$4*D8+Weights!$B$5*H8)</f>
        <v/>
      </c>
      <c r="J8">
        <f>I8-I5</f>
        <v/>
      </c>
      <c r="K8" t="n">
        <v>5630</v>
      </c>
      <c r="L8">
        <f>K8/K7-1</f>
        <v/>
      </c>
      <c r="M8">
        <f>IF(L8&lt;=Weights!$B$8,1,0)</f>
        <v/>
      </c>
    </row>
    <row r="9">
      <c r="A9" t="n">
        <v>1926</v>
      </c>
      <c r="B9" t="n">
        <v>0.614</v>
      </c>
      <c r="C9" t="n">
        <v>0.49</v>
      </c>
      <c r="D9" t="n">
        <v>0.34900217</v>
      </c>
      <c r="E9" t="inlineStr">
        <is>
          <t>Escosura-interp</t>
        </is>
      </c>
      <c r="F9">
        <f>Regression!$B$2+Regression!$C$2*D9</f>
        <v/>
      </c>
      <c r="G9">
        <f>C9-F9</f>
        <v/>
      </c>
      <c r="H9">
        <f>MAX(0,MIN(1,0.5+G9))</f>
        <v/>
      </c>
      <c r="I9">
        <f>100*(Weights!$B$2*B9+Weights!$B$3*C9+Weights!$B$4*D9+Weights!$B$5*H9)</f>
        <v/>
      </c>
      <c r="J9">
        <f>I9-I6</f>
        <v/>
      </c>
      <c r="K9" t="n">
        <v>5746</v>
      </c>
      <c r="L9">
        <f>K9/K8-1</f>
        <v/>
      </c>
      <c r="M9">
        <f>IF(L9&lt;=Weights!$B$8,1,0)</f>
        <v/>
      </c>
    </row>
    <row r="10">
      <c r="A10" t="n">
        <v>1927</v>
      </c>
      <c r="B10" t="n">
        <v>0.614</v>
      </c>
      <c r="C10" t="n">
        <v>0.49</v>
      </c>
      <c r="D10" t="n">
        <v>0.35349417</v>
      </c>
      <c r="E10" t="inlineStr">
        <is>
          <t>Escosura-interp</t>
        </is>
      </c>
      <c r="F10">
        <f>Regression!$B$2+Regression!$C$2*D10</f>
        <v/>
      </c>
      <c r="G10">
        <f>C10-F10</f>
        <v/>
      </c>
      <c r="H10">
        <f>MAX(0,MIN(1,0.5+G10))</f>
        <v/>
      </c>
      <c r="I10">
        <f>100*(Weights!$B$2*B10+Weights!$B$3*C10+Weights!$B$4*D10+Weights!$B$5*H10)</f>
        <v/>
      </c>
      <c r="J10">
        <f>I10-I7</f>
        <v/>
      </c>
      <c r="K10" t="n">
        <v>6282</v>
      </c>
      <c r="L10">
        <f>K10/K9-1</f>
        <v/>
      </c>
      <c r="M10">
        <f>IF(L10&lt;=Weights!$B$8,1,0)</f>
        <v/>
      </c>
    </row>
    <row r="11">
      <c r="A11" t="n">
        <v>1928</v>
      </c>
      <c r="B11" t="n">
        <v>0.611</v>
      </c>
      <c r="C11" t="n">
        <v>0.487</v>
      </c>
      <c r="D11" t="n">
        <v>0.35798617</v>
      </c>
      <c r="E11" t="inlineStr">
        <is>
          <t>Escosura-interp</t>
        </is>
      </c>
      <c r="F11">
        <f>Regression!$B$2+Regression!$C$2*D11</f>
        <v/>
      </c>
      <c r="G11">
        <f>C11-F11</f>
        <v/>
      </c>
      <c r="H11">
        <f>MAX(0,MIN(1,0.5+G11))</f>
        <v/>
      </c>
      <c r="I11">
        <f>100*(Weights!$B$2*B11+Weights!$B$3*C11+Weights!$B$4*D11+Weights!$B$5*H11)</f>
        <v/>
      </c>
      <c r="J11">
        <f>I11-I8</f>
        <v/>
      </c>
      <c r="K11" t="n">
        <v>6519</v>
      </c>
      <c r="L11">
        <f>K11/K10-1</f>
        <v/>
      </c>
      <c r="M11">
        <f>IF(L11&lt;=Weights!$B$8,1,0)</f>
        <v/>
      </c>
    </row>
    <row r="12">
      <c r="A12" t="n">
        <v>1929</v>
      </c>
      <c r="B12" t="n">
        <v>0.613</v>
      </c>
      <c r="C12" t="n">
        <v>0.488</v>
      </c>
      <c r="D12" t="n">
        <v>0.36247817</v>
      </c>
      <c r="E12" t="inlineStr">
        <is>
          <t>Escosura-interp</t>
        </is>
      </c>
      <c r="F12">
        <f>Regression!$B$2+Regression!$C$2*D12</f>
        <v/>
      </c>
      <c r="G12">
        <f>C12-F12</f>
        <v/>
      </c>
      <c r="H12">
        <f>MAX(0,MIN(1,0.5+G12))</f>
        <v/>
      </c>
      <c r="I12">
        <f>100*(Weights!$B$2*B12+Weights!$B$3*C12+Weights!$B$4*D12+Weights!$B$5*H12)</f>
        <v/>
      </c>
      <c r="J12">
        <f>I12-I9</f>
        <v/>
      </c>
      <c r="K12" t="n">
        <v>6457</v>
      </c>
      <c r="L12">
        <f>K12/K11-1</f>
        <v/>
      </c>
      <c r="M12">
        <f>IF(L12&lt;=Weights!$B$8,1,0)</f>
        <v/>
      </c>
    </row>
    <row r="13">
      <c r="A13" t="n">
        <v>1930</v>
      </c>
      <c r="B13" t="n">
        <v>0.593</v>
      </c>
      <c r="C13" t="n">
        <v>0.471</v>
      </c>
      <c r="D13" t="n">
        <v>0.32768322</v>
      </c>
      <c r="E13" t="inlineStr">
        <is>
          <t>Escosura-interp</t>
        </is>
      </c>
      <c r="F13">
        <f>Regression!$B$2+Regression!$C$2*D13</f>
        <v/>
      </c>
      <c r="G13">
        <f>C13-F13</f>
        <v/>
      </c>
      <c r="H13">
        <f>MAX(0,MIN(1,0.5+G13))</f>
        <v/>
      </c>
      <c r="I13">
        <f>100*(Weights!$B$2*B13+Weights!$B$3*C13+Weights!$B$4*D13+Weights!$B$5*H13)</f>
        <v/>
      </c>
      <c r="J13">
        <f>I13-I10</f>
        <v/>
      </c>
      <c r="K13" t="n">
        <v>6333</v>
      </c>
      <c r="L13">
        <f>K13/K12-1</f>
        <v/>
      </c>
      <c r="M13">
        <f>IF(L13&lt;=Weights!$B$8,1,0)</f>
        <v/>
      </c>
    </row>
    <row r="14">
      <c r="A14" t="n">
        <v>1931</v>
      </c>
      <c r="B14" t="n">
        <v>0.573</v>
      </c>
      <c r="C14" t="n">
        <v>0.457</v>
      </c>
      <c r="D14" t="n">
        <v>0.29288827</v>
      </c>
      <c r="E14" t="inlineStr">
        <is>
          <t>Escosura-interp</t>
        </is>
      </c>
      <c r="F14">
        <f>Regression!$B$2+Regression!$C$2*D14</f>
        <v/>
      </c>
      <c r="G14">
        <f>C14-F14</f>
        <v/>
      </c>
      <c r="H14">
        <f>MAX(0,MIN(1,0.5+G14))</f>
        <v/>
      </c>
      <c r="I14">
        <f>100*(Weights!$B$2*B14+Weights!$B$3*C14+Weights!$B$4*D14+Weights!$B$5*H14)</f>
        <v/>
      </c>
      <c r="J14">
        <f>I14-I11</f>
        <v/>
      </c>
      <c r="K14" t="n">
        <v>5821</v>
      </c>
      <c r="L14">
        <f>K14/K13-1</f>
        <v/>
      </c>
      <c r="M14">
        <f>IF(L14&lt;=Weights!$B$8,1,0)</f>
        <v/>
      </c>
    </row>
    <row r="15">
      <c r="A15" t="n">
        <v>1932</v>
      </c>
      <c r="B15" t="n">
        <v>0.5580000000000001</v>
      </c>
      <c r="C15" t="n">
        <v>0.434</v>
      </c>
      <c r="D15" t="n">
        <v>0.25809332</v>
      </c>
      <c r="E15" t="inlineStr">
        <is>
          <t>Escosura-interp</t>
        </is>
      </c>
      <c r="F15">
        <f>Regression!$B$2+Regression!$C$2*D15</f>
        <v/>
      </c>
      <c r="G15">
        <f>C15-F15</f>
        <v/>
      </c>
      <c r="H15">
        <f>MAX(0,MIN(1,0.5+G15))</f>
        <v/>
      </c>
      <c r="I15">
        <f>100*(Weights!$B$2*B15+Weights!$B$3*C15+Weights!$B$4*D15+Weights!$B$5*H15)</f>
        <v/>
      </c>
      <c r="J15">
        <f>I15-I12</f>
        <v/>
      </c>
      <c r="K15" t="n">
        <v>5359</v>
      </c>
      <c r="L15">
        <f>K15/K14-1</f>
        <v/>
      </c>
      <c r="M15">
        <f>IF(L15&lt;=Weights!$B$8,1,0)</f>
        <v/>
      </c>
    </row>
    <row r="16">
      <c r="A16" t="n">
        <v>1933</v>
      </c>
      <c r="B16" t="n">
        <v>0.201</v>
      </c>
      <c r="C16" t="n">
        <v>0.059</v>
      </c>
      <c r="D16" t="n">
        <v>0.22329837</v>
      </c>
      <c r="E16" t="inlineStr">
        <is>
          <t>Escosura-interp</t>
        </is>
      </c>
      <c r="F16">
        <f>Regression!$B$2+Regression!$C$2*D16</f>
        <v/>
      </c>
      <c r="G16">
        <f>C16-F16</f>
        <v/>
      </c>
      <c r="H16">
        <f>MAX(0,MIN(1,0.5+G16))</f>
        <v/>
      </c>
      <c r="I16">
        <f>100*(Weights!$B$2*B16+Weights!$B$3*C16+Weights!$B$4*D16+Weights!$B$5*H16)</f>
        <v/>
      </c>
      <c r="J16">
        <f>I16-I13</f>
        <v/>
      </c>
      <c r="K16" t="n">
        <v>5668</v>
      </c>
      <c r="L16">
        <f>K16/K15-1</f>
        <v/>
      </c>
      <c r="M16">
        <f>IF(L16&lt;=Weights!$B$8,1,0)</f>
        <v/>
      </c>
    </row>
    <row r="17">
      <c r="A17" t="n">
        <v>1934</v>
      </c>
      <c r="B17" t="n">
        <v>0.109</v>
      </c>
      <c r="C17" t="n">
        <v>0.017</v>
      </c>
      <c r="D17" t="n">
        <v>0.210884522</v>
      </c>
      <c r="E17" t="inlineStr">
        <is>
          <t>Escosura-interp</t>
        </is>
      </c>
      <c r="F17">
        <f>Regression!$B$2+Regression!$C$2*D17</f>
        <v/>
      </c>
      <c r="G17">
        <f>C17-F17</f>
        <v/>
      </c>
      <c r="H17">
        <f>MAX(0,MIN(1,0.5+G17))</f>
        <v/>
      </c>
      <c r="I17">
        <f>100*(Weights!$B$2*B17+Weights!$B$3*C17+Weights!$B$4*D17+Weights!$B$5*H17)</f>
        <v/>
      </c>
      <c r="J17">
        <f>I17-I14</f>
        <v/>
      </c>
      <c r="K17" t="n">
        <v>6150</v>
      </c>
      <c r="L17">
        <f>K17/K16-1</f>
        <v/>
      </c>
      <c r="M17">
        <f>IF(L17&lt;=Weights!$B$8,1,0)</f>
        <v/>
      </c>
    </row>
    <row r="18">
      <c r="A18" t="n">
        <v>1935</v>
      </c>
      <c r="B18" t="n">
        <v>0.07199999999999999</v>
      </c>
      <c r="C18" t="n">
        <v>0.013</v>
      </c>
      <c r="D18" t="n">
        <v>0.198470674</v>
      </c>
      <c r="E18" t="inlineStr">
        <is>
          <t>Escosura-interp</t>
        </is>
      </c>
      <c r="F18">
        <f>Regression!$B$2+Regression!$C$2*D18</f>
        <v/>
      </c>
      <c r="G18">
        <f>C18-F18</f>
        <v/>
      </c>
      <c r="H18">
        <f>MAX(0,MIN(1,0.5+G18))</f>
        <v/>
      </c>
      <c r="I18">
        <f>100*(Weights!$B$2*B18+Weights!$B$3*C18+Weights!$B$4*D18+Weights!$B$5*H18)</f>
        <v/>
      </c>
      <c r="J18">
        <f>I18-I15</f>
        <v/>
      </c>
      <c r="K18" t="n">
        <v>6567</v>
      </c>
      <c r="L18">
        <f>K18/K17-1</f>
        <v/>
      </c>
      <c r="M18">
        <f>IF(L18&lt;=Weights!$B$8,1,0)</f>
        <v/>
      </c>
    </row>
    <row r="19">
      <c r="A19" t="n">
        <v>1936</v>
      </c>
      <c r="B19" t="n">
        <v>0.08699999999999999</v>
      </c>
      <c r="C19" t="n">
        <v>0.014</v>
      </c>
      <c r="D19" t="n">
        <v>0.186056826</v>
      </c>
      <c r="E19" t="inlineStr">
        <is>
          <t>Escosura-interp</t>
        </is>
      </c>
      <c r="F19">
        <f>Regression!$B$2+Regression!$C$2*D19</f>
        <v/>
      </c>
      <c r="G19">
        <f>C19-F19</f>
        <v/>
      </c>
      <c r="H19">
        <f>MAX(0,MIN(1,0.5+G19))</f>
        <v/>
      </c>
      <c r="I19">
        <f>100*(Weights!$B$2*B19+Weights!$B$3*C19+Weights!$B$4*D19+Weights!$B$5*H19)</f>
        <v/>
      </c>
      <c r="J19">
        <f>I19-I16</f>
        <v/>
      </c>
      <c r="K19" t="n">
        <v>7095</v>
      </c>
      <c r="L19">
        <f>K19/K18-1</f>
        <v/>
      </c>
      <c r="M19">
        <f>IF(L19&lt;=Weights!$B$8,1,0)</f>
        <v/>
      </c>
    </row>
    <row r="20">
      <c r="A20" t="n">
        <v>1937</v>
      </c>
      <c r="B20" t="n">
        <v>0.07199999999999999</v>
      </c>
      <c r="C20" t="n">
        <v>0.013</v>
      </c>
      <c r="D20" t="n">
        <v>0.173642978</v>
      </c>
      <c r="E20" t="inlineStr">
        <is>
          <t>Escosura-interp</t>
        </is>
      </c>
      <c r="F20">
        <f>Regression!$B$2+Regression!$C$2*D20</f>
        <v/>
      </c>
      <c r="G20">
        <f>C20-F20</f>
        <v/>
      </c>
      <c r="H20">
        <f>MAX(0,MIN(1,0.5+G20))</f>
        <v/>
      </c>
      <c r="I20">
        <f>100*(Weights!$B$2*B20+Weights!$B$3*C20+Weights!$B$4*D20+Weights!$B$5*H20)</f>
        <v/>
      </c>
      <c r="J20">
        <f>I20-I17</f>
        <v/>
      </c>
      <c r="K20" t="n">
        <v>7468</v>
      </c>
      <c r="L20">
        <f>K20/K19-1</f>
        <v/>
      </c>
      <c r="M20">
        <f>IF(L20&lt;=Weights!$B$8,1,0)</f>
        <v/>
      </c>
    </row>
    <row r="21">
      <c r="A21" t="n">
        <v>1938</v>
      </c>
      <c r="B21" t="n">
        <v>0.08500000000000001</v>
      </c>
      <c r="C21" t="n">
        <v>0.014</v>
      </c>
      <c r="D21" t="n">
        <v>0.16122913</v>
      </c>
      <c r="E21" t="inlineStr">
        <is>
          <t>Escosura-interp</t>
        </is>
      </c>
      <c r="F21">
        <f>Regression!$B$2+Regression!$C$2*D21</f>
        <v/>
      </c>
      <c r="G21">
        <f>C21-F21</f>
        <v/>
      </c>
      <c r="H21">
        <f>MAX(0,MIN(1,0.5+G21))</f>
        <v/>
      </c>
      <c r="I21">
        <f>100*(Weights!$B$2*B21+Weights!$B$3*C21+Weights!$B$4*D21+Weights!$B$5*H21)</f>
        <v/>
      </c>
      <c r="J21">
        <f>I21-I18</f>
        <v/>
      </c>
      <c r="K21" t="n">
        <v>7960</v>
      </c>
      <c r="L21">
        <f>K21/K20-1</f>
        <v/>
      </c>
      <c r="M21">
        <f>IF(L21&lt;=Weights!$B$8,1,0)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year</t>
        </is>
      </c>
      <c r="B1" s="1" t="inlineStr">
        <is>
          <t>polyarchy</t>
        </is>
      </c>
      <c r="C1" s="1" t="inlineStr">
        <is>
          <t>libdem</t>
        </is>
      </c>
      <c r="D1" s="1" t="inlineStr">
        <is>
          <t>hdi</t>
        </is>
      </c>
      <c r="E1" s="1" t="inlineStr">
        <is>
          <t>hdi_source</t>
        </is>
      </c>
      <c r="F1" s="1" t="inlineStr">
        <is>
          <t>libdem_pred</t>
        </is>
      </c>
      <c r="G1" s="1" t="inlineStr">
        <is>
          <t>resid</t>
        </is>
      </c>
      <c r="H1" s="1" t="inlineStr">
        <is>
          <t>hdi_adj</t>
        </is>
      </c>
      <c r="I1" s="1" t="inlineStr">
        <is>
          <t>INDEX</t>
        </is>
      </c>
      <c r="J1" s="1" t="inlineStr">
        <is>
          <t>index_chg_3y</t>
        </is>
      </c>
      <c r="K1" s="1" t="inlineStr">
        <is>
          <t>gdp_pc</t>
        </is>
      </c>
      <c r="L1" s="1" t="inlineStr">
        <is>
          <t>gdp_yoy</t>
        </is>
      </c>
      <c r="M1" s="1" t="inlineStr">
        <is>
          <t>strain</t>
        </is>
      </c>
    </row>
    <row r="2">
      <c r="A2" t="n">
        <v>1990</v>
      </c>
      <c r="B2" t="n">
        <v>0.799</v>
      </c>
      <c r="C2" t="n">
        <v>0.715</v>
      </c>
      <c r="D2" t="n">
        <v>0.73</v>
      </c>
      <c r="E2" t="inlineStr">
        <is>
          <t>UNDP</t>
        </is>
      </c>
      <c r="F2">
        <f>Regression!$B$3+Regression!$C$3*D2</f>
        <v/>
      </c>
      <c r="G2">
        <f>C2-F2</f>
        <v/>
      </c>
      <c r="H2">
        <f>MAX(0,MIN(1,0.5+G2))</f>
        <v/>
      </c>
      <c r="I2">
        <f>100*(Weights!$B$2*B2+Weights!$B$3*C2+Weights!$B$4*D2+Weights!$B$5*H2)</f>
        <v/>
      </c>
      <c r="K2" t="n">
        <v>10296</v>
      </c>
    </row>
    <row r="3">
      <c r="A3" t="n">
        <v>1991</v>
      </c>
      <c r="B3" t="n">
        <v>0.843</v>
      </c>
      <c r="C3" t="n">
        <v>0.757</v>
      </c>
      <c r="D3" t="n">
        <v>0.724</v>
      </c>
      <c r="E3" t="inlineStr">
        <is>
          <t>UNDP</t>
        </is>
      </c>
      <c r="F3">
        <f>Regression!$B$3+Regression!$C$3*D3</f>
        <v/>
      </c>
      <c r="G3">
        <f>C3-F3</f>
        <v/>
      </c>
      <c r="H3">
        <f>MAX(0,MIN(1,0.5+G3))</f>
        <v/>
      </c>
      <c r="I3">
        <f>100*(Weights!$B$2*B3+Weights!$B$3*C3+Weights!$B$4*D3+Weights!$B$5*H3)</f>
        <v/>
      </c>
      <c r="K3" t="n">
        <v>9255.909</v>
      </c>
      <c r="L3">
        <f>K3/K2-1</f>
        <v/>
      </c>
      <c r="M3">
        <f>IF(L3&lt;=Weights!$B$8,1,0)</f>
        <v/>
      </c>
    </row>
    <row r="4">
      <c r="A4" t="n">
        <v>1992</v>
      </c>
      <c r="B4" t="n">
        <v>0.843</v>
      </c>
      <c r="C4" t="n">
        <v>0.757</v>
      </c>
      <c r="D4" t="n">
        <v>0.722</v>
      </c>
      <c r="E4" t="inlineStr">
        <is>
          <t>UNDP</t>
        </is>
      </c>
      <c r="F4">
        <f>Regression!$B$3+Regression!$C$3*D4</f>
        <v/>
      </c>
      <c r="G4">
        <f>C4-F4</f>
        <v/>
      </c>
      <c r="H4">
        <f>MAX(0,MIN(1,0.5+G4))</f>
        <v/>
      </c>
      <c r="I4">
        <f>100*(Weights!$B$2*B4+Weights!$B$3*C4+Weights!$B$4*D4+Weights!$B$5*H4)</f>
        <v/>
      </c>
      <c r="K4" t="n">
        <v>9153.921</v>
      </c>
      <c r="L4">
        <f>K4/K3-1</f>
        <v/>
      </c>
      <c r="M4">
        <f>IF(L4&lt;=Weights!$B$8,1,0)</f>
        <v/>
      </c>
    </row>
    <row r="5">
      <c r="A5" t="n">
        <v>1993</v>
      </c>
      <c r="B5" t="n">
        <v>0.843</v>
      </c>
      <c r="C5" t="n">
        <v>0.757</v>
      </c>
      <c r="D5" t="n">
        <v>0.729</v>
      </c>
      <c r="E5" t="inlineStr">
        <is>
          <t>UNDP</t>
        </is>
      </c>
      <c r="F5">
        <f>Regression!$B$3+Regression!$C$3*D5</f>
        <v/>
      </c>
      <c r="G5">
        <f>C5-F5</f>
        <v/>
      </c>
      <c r="H5">
        <f>MAX(0,MIN(1,0.5+G5))</f>
        <v/>
      </c>
      <c r="I5">
        <f>100*(Weights!$B$2*B5+Weights!$B$3*C5+Weights!$B$4*D5+Weights!$B$5*H5)</f>
        <v/>
      </c>
      <c r="J5">
        <f>I5-I2</f>
        <v/>
      </c>
      <c r="K5" t="n">
        <v>9294.464</v>
      </c>
      <c r="L5">
        <f>K5/K4-1</f>
        <v/>
      </c>
      <c r="M5">
        <f>IF(L5&lt;=Weights!$B$8,1,0)</f>
        <v/>
      </c>
    </row>
    <row r="6">
      <c r="A6" t="n">
        <v>1994</v>
      </c>
      <c r="B6" t="n">
        <v>0.842</v>
      </c>
      <c r="C6" t="n">
        <v>0.755</v>
      </c>
      <c r="D6" t="n">
        <v>0.739</v>
      </c>
      <c r="E6" t="inlineStr">
        <is>
          <t>UNDP</t>
        </is>
      </c>
      <c r="F6">
        <f>Regression!$B$3+Regression!$C$3*D6</f>
        <v/>
      </c>
      <c r="G6">
        <f>C6-F6</f>
        <v/>
      </c>
      <c r="H6">
        <f>MAX(0,MIN(1,0.5+G6))</f>
        <v/>
      </c>
      <c r="I6">
        <f>100*(Weights!$B$2*B6+Weights!$B$3*C6+Weights!$B$4*D6+Weights!$B$5*H6)</f>
        <v/>
      </c>
      <c r="J6">
        <f>I6-I3</f>
        <v/>
      </c>
      <c r="K6" t="n">
        <v>9772.224</v>
      </c>
      <c r="L6">
        <f>K6/K5-1</f>
        <v/>
      </c>
      <c r="M6">
        <f>IF(L6&lt;=Weights!$B$8,1,0)</f>
        <v/>
      </c>
    </row>
    <row r="7">
      <c r="A7" t="n">
        <v>1995</v>
      </c>
      <c r="B7" t="n">
        <v>0.844</v>
      </c>
      <c r="C7" t="n">
        <v>0.756</v>
      </c>
      <c r="D7" t="n">
        <v>0.744</v>
      </c>
      <c r="E7" t="inlineStr">
        <is>
          <t>UNDP</t>
        </is>
      </c>
      <c r="F7">
        <f>Regression!$B$3+Regression!$C$3*D7</f>
        <v/>
      </c>
      <c r="G7">
        <f>C7-F7</f>
        <v/>
      </c>
      <c r="H7">
        <f>MAX(0,MIN(1,0.5+G7))</f>
        <v/>
      </c>
      <c r="I7">
        <f>100*(Weights!$B$2*B7+Weights!$B$3*C7+Weights!$B$4*D7+Weights!$B$5*H7)</f>
        <v/>
      </c>
      <c r="J7">
        <f>I7-I4</f>
        <v/>
      </c>
      <c r="K7" t="n">
        <v>10134.834</v>
      </c>
      <c r="L7">
        <f>K7/K6-1</f>
        <v/>
      </c>
      <c r="M7">
        <f>IF(L7&lt;=Weights!$B$8,1,0)</f>
        <v/>
      </c>
    </row>
    <row r="8">
      <c r="A8" t="n">
        <v>1996</v>
      </c>
      <c r="B8" t="n">
        <v>0.844</v>
      </c>
      <c r="C8" t="n">
        <v>0.756</v>
      </c>
      <c r="D8" t="n">
        <v>0.752</v>
      </c>
      <c r="E8" t="inlineStr">
        <is>
          <t>UNDP</t>
        </is>
      </c>
      <c r="F8">
        <f>Regression!$B$3+Regression!$C$3*D8</f>
        <v/>
      </c>
      <c r="G8">
        <f>C8-F8</f>
        <v/>
      </c>
      <c r="H8">
        <f>MAX(0,MIN(1,0.5+G8))</f>
        <v/>
      </c>
      <c r="I8">
        <f>100*(Weights!$B$2*B8+Weights!$B$3*C8+Weights!$B$4*D8+Weights!$B$5*H8)</f>
        <v/>
      </c>
      <c r="J8">
        <f>I8-I5</f>
        <v/>
      </c>
      <c r="K8" t="n">
        <v>10359.182</v>
      </c>
      <c r="L8">
        <f>K8/K7-1</f>
        <v/>
      </c>
      <c r="M8">
        <f>IF(L8&lt;=Weights!$B$8,1,0)</f>
        <v/>
      </c>
    </row>
    <row r="9">
      <c r="A9" t="n">
        <v>1997</v>
      </c>
      <c r="B9" t="n">
        <v>0.844</v>
      </c>
      <c r="C9" t="n">
        <v>0.757</v>
      </c>
      <c r="D9" t="n">
        <v>0.758</v>
      </c>
      <c r="E9" t="inlineStr">
        <is>
          <t>UNDP</t>
        </is>
      </c>
      <c r="F9">
        <f>Regression!$B$3+Regression!$C$3*D9</f>
        <v/>
      </c>
      <c r="G9">
        <f>C9-F9</f>
        <v/>
      </c>
      <c r="H9">
        <f>MAX(0,MIN(1,0.5+G9))</f>
        <v/>
      </c>
      <c r="I9">
        <f>100*(Weights!$B$2*B9+Weights!$B$3*C9+Weights!$B$4*D9+Weights!$B$5*H9)</f>
        <v/>
      </c>
      <c r="J9">
        <f>I9-I6</f>
        <v/>
      </c>
      <c r="K9" t="n">
        <v>10942.326</v>
      </c>
      <c r="L9">
        <f>K9/K8-1</f>
        <v/>
      </c>
      <c r="M9">
        <f>IF(L9&lt;=Weights!$B$8,1,0)</f>
        <v/>
      </c>
    </row>
    <row r="10">
      <c r="A10" t="n">
        <v>1998</v>
      </c>
      <c r="B10" t="n">
        <v>0.84</v>
      </c>
      <c r="C10" t="n">
        <v>0.754</v>
      </c>
      <c r="D10" t="n">
        <v>0.764</v>
      </c>
      <c r="E10" t="inlineStr">
        <is>
          <t>UNDP</t>
        </is>
      </c>
      <c r="F10">
        <f>Regression!$B$3+Regression!$C$3*D10</f>
        <v/>
      </c>
      <c r="G10">
        <f>C10-F10</f>
        <v/>
      </c>
      <c r="H10">
        <f>MAX(0,MIN(1,0.5+G10))</f>
        <v/>
      </c>
      <c r="I10">
        <f>100*(Weights!$B$2*B10+Weights!$B$3*C10+Weights!$B$4*D10+Weights!$B$5*H10)</f>
        <v/>
      </c>
      <c r="J10">
        <f>I10-I7</f>
        <v/>
      </c>
      <c r="K10" t="n">
        <v>11663.028</v>
      </c>
      <c r="L10">
        <f>K10/K9-1</f>
        <v/>
      </c>
      <c r="M10">
        <f>IF(L10&lt;=Weights!$B$8,1,0)</f>
        <v/>
      </c>
    </row>
    <row r="11">
      <c r="A11" t="n">
        <v>1999</v>
      </c>
      <c r="B11" t="n">
        <v>0.839</v>
      </c>
      <c r="C11" t="n">
        <v>0.75</v>
      </c>
      <c r="D11" t="n">
        <v>0.771</v>
      </c>
      <c r="E11" t="inlineStr">
        <is>
          <t>UNDP</t>
        </is>
      </c>
      <c r="F11">
        <f>Regression!$B$3+Regression!$C$3*D11</f>
        <v/>
      </c>
      <c r="G11">
        <f>C11-F11</f>
        <v/>
      </c>
      <c r="H11">
        <f>MAX(0,MIN(1,0.5+G11))</f>
        <v/>
      </c>
      <c r="I11">
        <f>100*(Weights!$B$2*B11+Weights!$B$3*C11+Weights!$B$4*D11+Weights!$B$5*H11)</f>
        <v/>
      </c>
      <c r="J11">
        <f>I11-I8</f>
        <v/>
      </c>
      <c r="K11" t="n">
        <v>12316.724</v>
      </c>
      <c r="L11">
        <f>K11/K10-1</f>
        <v/>
      </c>
      <c r="M11">
        <f>IF(L11&lt;=Weights!$B$8,1,0)</f>
        <v/>
      </c>
    </row>
    <row r="12">
      <c r="A12" t="n">
        <v>2000</v>
      </c>
      <c r="B12" t="n">
        <v>0.839</v>
      </c>
      <c r="C12" t="n">
        <v>0.75</v>
      </c>
      <c r="D12" t="n">
        <v>0.781</v>
      </c>
      <c r="E12" t="inlineStr">
        <is>
          <t>UNDP</t>
        </is>
      </c>
      <c r="F12">
        <f>Regression!$B$3+Regression!$C$3*D12</f>
        <v/>
      </c>
      <c r="G12">
        <f>C12-F12</f>
        <v/>
      </c>
      <c r="H12">
        <f>MAX(0,MIN(1,0.5+G12))</f>
        <v/>
      </c>
      <c r="I12">
        <f>100*(Weights!$B$2*B12+Weights!$B$3*C12+Weights!$B$4*D12+Weights!$B$5*H12)</f>
        <v/>
      </c>
      <c r="J12">
        <f>I12-I9</f>
        <v/>
      </c>
      <c r="K12" t="n">
        <v>13129.273</v>
      </c>
      <c r="L12">
        <f>K12/K11-1</f>
        <v/>
      </c>
      <c r="M12">
        <f>IF(L12&lt;=Weights!$B$8,1,0)</f>
        <v/>
      </c>
    </row>
    <row r="13">
      <c r="A13" t="n">
        <v>2001</v>
      </c>
      <c r="B13" t="n">
        <v>0.839</v>
      </c>
      <c r="C13" t="n">
        <v>0.75</v>
      </c>
      <c r="D13" t="n">
        <v>0.791</v>
      </c>
      <c r="E13" t="inlineStr">
        <is>
          <t>UNDP</t>
        </is>
      </c>
      <c r="F13">
        <f>Regression!$B$3+Regression!$C$3*D13</f>
        <v/>
      </c>
      <c r="G13">
        <f>C13-F13</f>
        <v/>
      </c>
      <c r="H13">
        <f>MAX(0,MIN(1,0.5+G13))</f>
        <v/>
      </c>
      <c r="I13">
        <f>100*(Weights!$B$2*B13+Weights!$B$3*C13+Weights!$B$4*D13+Weights!$B$5*H13)</f>
        <v/>
      </c>
      <c r="J13">
        <f>I13-I10</f>
        <v/>
      </c>
      <c r="K13" t="n">
        <v>13933.562</v>
      </c>
      <c r="L13">
        <f>K13/K12-1</f>
        <v/>
      </c>
      <c r="M13">
        <f>IF(L13&lt;=Weights!$B$8,1,0)</f>
        <v/>
      </c>
    </row>
    <row r="14">
      <c r="A14" t="n">
        <v>2002</v>
      </c>
      <c r="B14" t="n">
        <v>0.842</v>
      </c>
      <c r="C14" t="n">
        <v>0.755</v>
      </c>
      <c r="D14" t="n">
        <v>0.8</v>
      </c>
      <c r="E14" t="inlineStr">
        <is>
          <t>UNDP</t>
        </is>
      </c>
      <c r="F14">
        <f>Regression!$B$3+Regression!$C$3*D14</f>
        <v/>
      </c>
      <c r="G14">
        <f>C14-F14</f>
        <v/>
      </c>
      <c r="H14">
        <f>MAX(0,MIN(1,0.5+G14))</f>
        <v/>
      </c>
      <c r="I14">
        <f>100*(Weights!$B$2*B14+Weights!$B$3*C14+Weights!$B$4*D14+Weights!$B$5*H14)</f>
        <v/>
      </c>
      <c r="J14">
        <f>I14-I11</f>
        <v/>
      </c>
      <c r="K14" t="n">
        <v>14899.307</v>
      </c>
      <c r="L14">
        <f>K14/K13-1</f>
        <v/>
      </c>
      <c r="M14">
        <f>IF(L14&lt;=Weights!$B$8,1,0)</f>
        <v/>
      </c>
    </row>
    <row r="15">
      <c r="A15" t="n">
        <v>2003</v>
      </c>
      <c r="B15" t="n">
        <v>0.843</v>
      </c>
      <c r="C15" t="n">
        <v>0.759</v>
      </c>
      <c r="D15" t="n">
        <v>0.8070000000000001</v>
      </c>
      <c r="E15" t="inlineStr">
        <is>
          <t>UNDP</t>
        </is>
      </c>
      <c r="F15">
        <f>Regression!$B$3+Regression!$C$3*D15</f>
        <v/>
      </c>
      <c r="G15">
        <f>C15-F15</f>
        <v/>
      </c>
      <c r="H15">
        <f>MAX(0,MIN(1,0.5+G15))</f>
        <v/>
      </c>
      <c r="I15">
        <f>100*(Weights!$B$2*B15+Weights!$B$3*C15+Weights!$B$4*D15+Weights!$B$5*H15)</f>
        <v/>
      </c>
      <c r="J15">
        <f>I15-I12</f>
        <v/>
      </c>
      <c r="K15" t="n">
        <v>15829.9</v>
      </c>
      <c r="L15">
        <f>K15/K14-1</f>
        <v/>
      </c>
      <c r="M15">
        <f>IF(L15&lt;=Weights!$B$8,1,0)</f>
        <v/>
      </c>
    </row>
    <row r="16">
      <c r="A16" t="n">
        <v>2004</v>
      </c>
      <c r="B16" t="n">
        <v>0.843</v>
      </c>
      <c r="C16" t="n">
        <v>0.759</v>
      </c>
      <c r="D16" t="n">
        <v>0.8110000000000001</v>
      </c>
      <c r="E16" t="inlineStr">
        <is>
          <t>UNDP</t>
        </is>
      </c>
      <c r="F16">
        <f>Regression!$B$3+Regression!$C$3*D16</f>
        <v/>
      </c>
      <c r="G16">
        <f>C16-F16</f>
        <v/>
      </c>
      <c r="H16">
        <f>MAX(0,MIN(1,0.5+G16))</f>
        <v/>
      </c>
      <c r="I16">
        <f>100*(Weights!$B$2*B16+Weights!$B$3*C16+Weights!$B$4*D16+Weights!$B$5*H16)</f>
        <v/>
      </c>
      <c r="J16">
        <f>I16-I13</f>
        <v/>
      </c>
      <c r="K16" t="n">
        <v>16999.006</v>
      </c>
      <c r="L16">
        <f>K16/K15-1</f>
        <v/>
      </c>
      <c r="M16">
        <f>IF(L16&lt;=Weights!$B$8,1,0)</f>
        <v/>
      </c>
    </row>
    <row r="17">
      <c r="A17" t="n">
        <v>2005</v>
      </c>
      <c r="B17" t="n">
        <v>0.843</v>
      </c>
      <c r="C17" t="n">
        <v>0.754</v>
      </c>
      <c r="D17" t="n">
        <v>0.8159999999999999</v>
      </c>
      <c r="E17" t="inlineStr">
        <is>
          <t>UNDP</t>
        </is>
      </c>
      <c r="F17">
        <f>Regression!$B$3+Regression!$C$3*D17</f>
        <v/>
      </c>
      <c r="G17">
        <f>C17-F17</f>
        <v/>
      </c>
      <c r="H17">
        <f>MAX(0,MIN(1,0.5+G17))</f>
        <v/>
      </c>
      <c r="I17">
        <f>100*(Weights!$B$2*B17+Weights!$B$3*C17+Weights!$B$4*D17+Weights!$B$5*H17)</f>
        <v/>
      </c>
      <c r="J17">
        <f>I17-I14</f>
        <v/>
      </c>
      <c r="K17" t="n">
        <v>18140.617</v>
      </c>
      <c r="L17">
        <f>K17/K16-1</f>
        <v/>
      </c>
      <c r="M17">
        <f>IF(L17&lt;=Weights!$B$8,1,0)</f>
        <v/>
      </c>
    </row>
    <row r="18">
      <c r="A18" t="n">
        <v>2006</v>
      </c>
      <c r="B18" t="n">
        <v>0.831</v>
      </c>
      <c r="C18" t="n">
        <v>0.742</v>
      </c>
      <c r="D18" t="n">
        <v>0.823</v>
      </c>
      <c r="E18" t="inlineStr">
        <is>
          <t>UNDP</t>
        </is>
      </c>
      <c r="F18">
        <f>Regression!$B$3+Regression!$C$3*D18</f>
        <v/>
      </c>
      <c r="G18">
        <f>C18-F18</f>
        <v/>
      </c>
      <c r="H18">
        <f>MAX(0,MIN(1,0.5+G18))</f>
        <v/>
      </c>
      <c r="I18">
        <f>100*(Weights!$B$2*B18+Weights!$B$3*C18+Weights!$B$4*D18+Weights!$B$5*H18)</f>
        <v/>
      </c>
      <c r="J18">
        <f>I18-I15</f>
        <v/>
      </c>
      <c r="K18" t="n">
        <v>19253.062</v>
      </c>
      <c r="L18">
        <f>K18/K17-1</f>
        <v/>
      </c>
      <c r="M18">
        <f>IF(L18&lt;=Weights!$B$8,1,0)</f>
        <v/>
      </c>
    </row>
    <row r="19">
      <c r="A19" t="n">
        <v>2007</v>
      </c>
      <c r="B19" t="n">
        <v>0.85</v>
      </c>
      <c r="C19" t="n">
        <v>0.765</v>
      </c>
      <c r="D19" t="n">
        <v>0.826</v>
      </c>
      <c r="E19" t="inlineStr">
        <is>
          <t>UNDP</t>
        </is>
      </c>
      <c r="F19">
        <f>Regression!$B$3+Regression!$C$3*D19</f>
        <v/>
      </c>
      <c r="G19">
        <f>C19-F19</f>
        <v/>
      </c>
      <c r="H19">
        <f>MAX(0,MIN(1,0.5+G19))</f>
        <v/>
      </c>
      <c r="I19">
        <f>100*(Weights!$B$2*B19+Weights!$B$3*C19+Weights!$B$4*D19+Weights!$B$5*H19)</f>
        <v/>
      </c>
      <c r="J19">
        <f>I19-I16</f>
        <v/>
      </c>
      <c r="K19" t="n">
        <v>19763.791</v>
      </c>
      <c r="L19">
        <f>K19/K18-1</f>
        <v/>
      </c>
      <c r="M19">
        <f>IF(L19&lt;=Weights!$B$8,1,0)</f>
        <v/>
      </c>
    </row>
    <row r="20">
      <c r="A20" t="n">
        <v>2008</v>
      </c>
      <c r="B20" t="n">
        <v>0.85</v>
      </c>
      <c r="C20" t="n">
        <v>0.766</v>
      </c>
      <c r="D20" t="n">
        <v>0.833</v>
      </c>
      <c r="E20" t="inlineStr">
        <is>
          <t>UNDP</t>
        </is>
      </c>
      <c r="F20">
        <f>Regression!$B$3+Regression!$C$3*D20</f>
        <v/>
      </c>
      <c r="G20">
        <f>C20-F20</f>
        <v/>
      </c>
      <c r="H20">
        <f>MAX(0,MIN(1,0.5+G20))</f>
        <v/>
      </c>
      <c r="I20">
        <f>100*(Weights!$B$2*B20+Weights!$B$3*C20+Weights!$B$4*D20+Weights!$B$5*H20)</f>
        <v/>
      </c>
      <c r="J20">
        <f>I20-I17</f>
        <v/>
      </c>
      <c r="K20" t="n">
        <v>20380.63</v>
      </c>
      <c r="L20">
        <f>K20/K19-1</f>
        <v/>
      </c>
      <c r="M20">
        <f>IF(L20&lt;=Weights!$B$8,1,0)</f>
        <v/>
      </c>
    </row>
    <row r="21">
      <c r="A21" t="n">
        <v>2009</v>
      </c>
      <c r="B21" t="n">
        <v>0.85</v>
      </c>
      <c r="C21" t="n">
        <v>0.766</v>
      </c>
      <c r="D21" t="n">
        <v>0.834</v>
      </c>
      <c r="E21" t="inlineStr">
        <is>
          <t>UNDP</t>
        </is>
      </c>
      <c r="F21">
        <f>Regression!$B$3+Regression!$C$3*D21</f>
        <v/>
      </c>
      <c r="G21">
        <f>C21-F21</f>
        <v/>
      </c>
      <c r="H21">
        <f>MAX(0,MIN(1,0.5+G21))</f>
        <v/>
      </c>
      <c r="I21">
        <f>100*(Weights!$B$2*B21+Weights!$B$3*C21+Weights!$B$4*D21+Weights!$B$5*H21)</f>
        <v/>
      </c>
      <c r="J21">
        <f>I21-I18</f>
        <v/>
      </c>
      <c r="K21" t="n">
        <v>19461.07</v>
      </c>
      <c r="L21">
        <f>K21/K20-1</f>
        <v/>
      </c>
      <c r="M21">
        <f>IF(L21&lt;=Weights!$B$8,1,0)</f>
        <v/>
      </c>
    </row>
    <row r="22">
      <c r="A22" t="n">
        <v>2010</v>
      </c>
      <c r="B22" t="n">
        <v>0.8080000000000001</v>
      </c>
      <c r="C22" t="n">
        <v>0.677</v>
      </c>
      <c r="D22" t="n">
        <v>0.838</v>
      </c>
      <c r="E22" t="inlineStr">
        <is>
          <t>UNDP</t>
        </is>
      </c>
      <c r="F22">
        <f>Regression!$B$3+Regression!$C$3*D22</f>
        <v/>
      </c>
      <c r="G22">
        <f>C22-F22</f>
        <v/>
      </c>
      <c r="H22">
        <f>MAX(0,MIN(1,0.5+G22))</f>
        <v/>
      </c>
      <c r="I22">
        <f>100*(Weights!$B$2*B22+Weights!$B$3*C22+Weights!$B$4*D22+Weights!$B$5*H22)</f>
        <v/>
      </c>
      <c r="J22">
        <f>I22-I19</f>
        <v/>
      </c>
      <c r="K22" t="n">
        <v>20036.334</v>
      </c>
      <c r="L22">
        <f>K22/K21-1</f>
        <v/>
      </c>
      <c r="M22">
        <f>IF(L22&lt;=Weights!$B$8,1,0)</f>
        <v/>
      </c>
    </row>
    <row r="23">
      <c r="A23" t="n">
        <v>2011</v>
      </c>
      <c r="B23" t="n">
        <v>0.778</v>
      </c>
      <c r="C23" t="n">
        <v>0.639</v>
      </c>
      <c r="D23" t="n">
        <v>0.841</v>
      </c>
      <c r="E23" t="inlineStr">
        <is>
          <t>UNDP</t>
        </is>
      </c>
      <c r="F23">
        <f>Regression!$B$3+Regression!$C$3*D23</f>
        <v/>
      </c>
      <c r="G23">
        <f>C23-F23</f>
        <v/>
      </c>
      <c r="H23">
        <f>MAX(0,MIN(1,0.5+G23))</f>
        <v/>
      </c>
      <c r="I23">
        <f>100*(Weights!$B$2*B23+Weights!$B$3*C23+Weights!$B$4*D23+Weights!$B$5*H23)</f>
        <v/>
      </c>
      <c r="J23">
        <f>I23-I20</f>
        <v/>
      </c>
      <c r="K23" t="n">
        <v>20886</v>
      </c>
      <c r="L23">
        <f>K23/K22-1</f>
        <v/>
      </c>
      <c r="M23">
        <f>IF(L23&lt;=Weights!$B$8,1,0)</f>
        <v/>
      </c>
    </row>
    <row r="24">
      <c r="A24" t="n">
        <v>2012</v>
      </c>
      <c r="B24" t="n">
        <v>0.773</v>
      </c>
      <c r="C24" t="n">
        <v>0.621</v>
      </c>
      <c r="D24" t="n">
        <v>0.841</v>
      </c>
      <c r="E24" t="inlineStr">
        <is>
          <t>UNDP</t>
        </is>
      </c>
      <c r="F24">
        <f>Regression!$B$3+Regression!$C$3*D24</f>
        <v/>
      </c>
      <c r="G24">
        <f>C24-F24</f>
        <v/>
      </c>
      <c r="H24">
        <f>MAX(0,MIN(1,0.5+G24))</f>
        <v/>
      </c>
      <c r="I24">
        <f>100*(Weights!$B$2*B24+Weights!$B$3*C24+Weights!$B$4*D24+Weights!$B$5*H24)</f>
        <v/>
      </c>
      <c r="J24">
        <f>I24-I21</f>
        <v/>
      </c>
      <c r="K24" t="n">
        <v>20731.67</v>
      </c>
      <c r="L24">
        <f>K24/K23-1</f>
        <v/>
      </c>
      <c r="M24">
        <f>IF(L24&lt;=Weights!$B$8,1,0)</f>
        <v/>
      </c>
    </row>
    <row r="25">
      <c r="A25" t="n">
        <v>2013</v>
      </c>
      <c r="B25" t="n">
        <v>0.738</v>
      </c>
      <c r="C25" t="n">
        <v>0.575</v>
      </c>
      <c r="D25" t="n">
        <v>0.85</v>
      </c>
      <c r="E25" t="inlineStr">
        <is>
          <t>UNDP</t>
        </is>
      </c>
      <c r="F25">
        <f>Regression!$B$3+Regression!$C$3*D25</f>
        <v/>
      </c>
      <c r="G25">
        <f>C25-F25</f>
        <v/>
      </c>
      <c r="H25">
        <f>MAX(0,MIN(1,0.5+G25))</f>
        <v/>
      </c>
      <c r="I25">
        <f>100*(Weights!$B$2*B25+Weights!$B$3*C25+Weights!$B$4*D25+Weights!$B$5*H25)</f>
        <v/>
      </c>
      <c r="J25">
        <f>I25-I22</f>
        <v/>
      </c>
      <c r="K25" t="n">
        <v>21163.564</v>
      </c>
      <c r="L25">
        <f>K25/K24-1</f>
        <v/>
      </c>
      <c r="M25">
        <f>IF(L25&lt;=Weights!$B$8,1,0)</f>
        <v/>
      </c>
    </row>
    <row r="26">
      <c r="A26" t="n">
        <v>2014</v>
      </c>
      <c r="B26" t="n">
        <v>0.669</v>
      </c>
      <c r="C26" t="n">
        <v>0.521</v>
      </c>
      <c r="D26" t="n">
        <v>0.848</v>
      </c>
      <c r="E26" t="inlineStr">
        <is>
          <t>UNDP</t>
        </is>
      </c>
      <c r="F26">
        <f>Regression!$B$3+Regression!$C$3*D26</f>
        <v/>
      </c>
      <c r="G26">
        <f>C26-F26</f>
        <v/>
      </c>
      <c r="H26">
        <f>MAX(0,MIN(1,0.5+G26))</f>
        <v/>
      </c>
      <c r="I26">
        <f>100*(Weights!$B$2*B26+Weights!$B$3*C26+Weights!$B$4*D26+Weights!$B$5*H26)</f>
        <v/>
      </c>
      <c r="J26">
        <f>I26-I23</f>
        <v/>
      </c>
      <c r="K26" t="n">
        <v>22118.75</v>
      </c>
      <c r="L26">
        <f>K26/K25-1</f>
        <v/>
      </c>
      <c r="M26">
        <f>IF(L26&lt;=Weights!$B$8,1,0)</f>
        <v/>
      </c>
    </row>
    <row r="27">
      <c r="A27" t="n">
        <v>2015</v>
      </c>
      <c r="B27" t="n">
        <v>0.617</v>
      </c>
      <c r="C27" t="n">
        <v>0.477</v>
      </c>
      <c r="D27" t="n">
        <v>0.847</v>
      </c>
      <c r="E27" t="inlineStr">
        <is>
          <t>UNDP</t>
        </is>
      </c>
      <c r="F27">
        <f>Regression!$B$3+Regression!$C$3*D27</f>
        <v/>
      </c>
      <c r="G27">
        <f>C27-F27</f>
        <v/>
      </c>
      <c r="H27">
        <f>MAX(0,MIN(1,0.5+G27))</f>
        <v/>
      </c>
      <c r="I27">
        <f>100*(Weights!$B$2*B27+Weights!$B$3*C27+Weights!$B$4*D27+Weights!$B$5*H27)</f>
        <v/>
      </c>
      <c r="J27">
        <f>I27-I24</f>
        <v/>
      </c>
      <c r="K27" t="n">
        <v>22993.375</v>
      </c>
      <c r="L27">
        <f>K27/K26-1</f>
        <v/>
      </c>
      <c r="M27">
        <f>IF(L27&lt;=Weights!$B$8,1,0)</f>
        <v/>
      </c>
    </row>
    <row r="28">
      <c r="A28" t="n">
        <v>2016</v>
      </c>
      <c r="B28" t="n">
        <v>0.613</v>
      </c>
      <c r="C28" t="n">
        <v>0.474</v>
      </c>
      <c r="D28" t="n">
        <v>0.851</v>
      </c>
      <c r="E28" t="inlineStr">
        <is>
          <t>UNDP</t>
        </is>
      </c>
      <c r="F28">
        <f>Regression!$B$3+Regression!$C$3*D28</f>
        <v/>
      </c>
      <c r="G28">
        <f>C28-F28</f>
        <v/>
      </c>
      <c r="H28">
        <f>MAX(0,MIN(1,0.5+G28))</f>
        <v/>
      </c>
      <c r="I28">
        <f>100*(Weights!$B$2*B28+Weights!$B$3*C28+Weights!$B$4*D28+Weights!$B$5*H28)</f>
        <v/>
      </c>
      <c r="J28">
        <f>I28-I25</f>
        <v/>
      </c>
      <c r="K28" t="n">
        <v>23568.926</v>
      </c>
      <c r="L28">
        <f>K28/K27-1</f>
        <v/>
      </c>
      <c r="M28">
        <f>IF(L28&lt;=Weights!$B$8,1,0)</f>
        <v/>
      </c>
    </row>
    <row r="29">
      <c r="A29" t="n">
        <v>2017</v>
      </c>
      <c r="B29" t="n">
        <v>0.555</v>
      </c>
      <c r="C29" t="n">
        <v>0.432</v>
      </c>
      <c r="D29" t="n">
        <v>0.853</v>
      </c>
      <c r="E29" t="inlineStr">
        <is>
          <t>UNDP</t>
        </is>
      </c>
      <c r="F29">
        <f>Regression!$B$3+Regression!$C$3*D29</f>
        <v/>
      </c>
      <c r="G29">
        <f>C29-F29</f>
        <v/>
      </c>
      <c r="H29">
        <f>MAX(0,MIN(1,0.5+G29))</f>
        <v/>
      </c>
      <c r="I29">
        <f>100*(Weights!$B$2*B29+Weights!$B$3*C29+Weights!$B$4*D29+Weights!$B$5*H29)</f>
        <v/>
      </c>
      <c r="J29">
        <f>I29-I26</f>
        <v/>
      </c>
      <c r="K29" t="n">
        <v>24641.197</v>
      </c>
      <c r="L29">
        <f>K29/K28-1</f>
        <v/>
      </c>
      <c r="M29">
        <f>IF(L29&lt;=Weights!$B$8,1,0)</f>
        <v/>
      </c>
    </row>
    <row r="30">
      <c r="A30" t="n">
        <v>2018</v>
      </c>
      <c r="B30" t="n">
        <v>0.481</v>
      </c>
      <c r="C30" t="n">
        <v>0.373</v>
      </c>
      <c r="D30" t="n">
        <v>0.857</v>
      </c>
      <c r="E30" t="inlineStr">
        <is>
          <t>UNDP</t>
        </is>
      </c>
      <c r="F30">
        <f>Regression!$B$3+Regression!$C$3*D30</f>
        <v/>
      </c>
      <c r="G30">
        <f>C30-F30</f>
        <v/>
      </c>
      <c r="H30">
        <f>MAX(0,MIN(1,0.5+G30))</f>
        <v/>
      </c>
      <c r="I30">
        <f>100*(Weights!$B$2*B30+Weights!$B$3*C30+Weights!$B$4*D30+Weights!$B$5*H30)</f>
        <v/>
      </c>
      <c r="J30">
        <f>I30-I27</f>
        <v/>
      </c>
      <c r="K30" t="n">
        <v>25995.51</v>
      </c>
      <c r="L30">
        <f>K30/K29-1</f>
        <v/>
      </c>
      <c r="M30">
        <f>IF(L30&lt;=Weights!$B$8,1,0)</f>
        <v/>
      </c>
    </row>
    <row r="31">
      <c r="A31" t="n">
        <v>2019</v>
      </c>
      <c r="B31" t="n">
        <v>0.466</v>
      </c>
      <c r="C31" t="n">
        <v>0.364</v>
      </c>
      <c r="D31" t="n">
        <v>0.861</v>
      </c>
      <c r="E31" t="inlineStr">
        <is>
          <t>UNDP</t>
        </is>
      </c>
      <c r="F31">
        <f>Regression!$B$3+Regression!$C$3*D31</f>
        <v/>
      </c>
      <c r="G31">
        <f>C31-F31</f>
        <v/>
      </c>
      <c r="H31">
        <f>MAX(0,MIN(1,0.5+G31))</f>
        <v/>
      </c>
      <c r="I31">
        <f>100*(Weights!$B$2*B31+Weights!$B$3*C31+Weights!$B$4*D31+Weights!$B$5*H31)</f>
        <v/>
      </c>
      <c r="J31">
        <f>I31-I28</f>
        <v/>
      </c>
      <c r="K31" t="n">
        <v>27272.312</v>
      </c>
      <c r="L31">
        <f>K31/K30-1</f>
        <v/>
      </c>
      <c r="M31">
        <f>IF(L31&lt;=Weights!$B$8,1,0)</f>
        <v/>
      </c>
    </row>
    <row r="32">
      <c r="A32" t="n">
        <v>2020</v>
      </c>
      <c r="B32" t="n">
        <v>0.46</v>
      </c>
      <c r="C32" t="n">
        <v>0.351</v>
      </c>
      <c r="D32" t="n">
        <v>0.857</v>
      </c>
      <c r="E32" t="inlineStr">
        <is>
          <t>UNDP</t>
        </is>
      </c>
      <c r="F32">
        <f>Regression!$B$3+Regression!$C$3*D32</f>
        <v/>
      </c>
      <c r="G32">
        <f>C32-F32</f>
        <v/>
      </c>
      <c r="H32">
        <f>MAX(0,MIN(1,0.5+G32))</f>
        <v/>
      </c>
      <c r="I32">
        <f>100*(Weights!$B$2*B32+Weights!$B$3*C32+Weights!$B$4*D32+Weights!$B$5*H32)</f>
        <v/>
      </c>
      <c r="J32">
        <f>I32-I29</f>
        <v/>
      </c>
      <c r="K32" t="n">
        <v>26091.4</v>
      </c>
      <c r="L32">
        <f>K32/K31-1</f>
        <v/>
      </c>
      <c r="M32">
        <f>IF(L32&lt;=Weights!$B$8,1,0)</f>
        <v/>
      </c>
    </row>
    <row r="33">
      <c r="A33" t="n">
        <v>2021</v>
      </c>
      <c r="B33" t="n">
        <v>0.45</v>
      </c>
      <c r="C33" t="n">
        <v>0.346</v>
      </c>
      <c r="D33" t="n">
        <v>0.852</v>
      </c>
      <c r="E33" t="inlineStr">
        <is>
          <t>UNDP</t>
        </is>
      </c>
      <c r="F33">
        <f>Regression!$B$3+Regression!$C$3*D33</f>
        <v/>
      </c>
      <c r="G33">
        <f>C33-F33</f>
        <v/>
      </c>
      <c r="H33">
        <f>MAX(0,MIN(1,0.5+G33))</f>
        <v/>
      </c>
      <c r="I33">
        <f>100*(Weights!$B$2*B33+Weights!$B$3*C33+Weights!$B$4*D33+Weights!$B$5*H33)</f>
        <v/>
      </c>
      <c r="J33">
        <f>I33-I30</f>
        <v/>
      </c>
      <c r="K33" t="n">
        <v>28085.963</v>
      </c>
      <c r="L33">
        <f>K33/K32-1</f>
        <v/>
      </c>
      <c r="M33">
        <f>IF(L33&lt;=Weights!$B$8,1,0)</f>
        <v/>
      </c>
    </row>
    <row r="34">
      <c r="A34" t="n">
        <v>2022</v>
      </c>
      <c r="B34" t="n">
        <v>0.447</v>
      </c>
      <c r="C34" t="n">
        <v>0.335</v>
      </c>
      <c r="D34" t="n">
        <v>0.867</v>
      </c>
      <c r="E34" t="inlineStr">
        <is>
          <t>UNDP</t>
        </is>
      </c>
      <c r="F34">
        <f>Regression!$B$3+Regression!$C$3*D34</f>
        <v/>
      </c>
      <c r="G34">
        <f>C34-F34</f>
        <v/>
      </c>
      <c r="H34">
        <f>MAX(0,MIN(1,0.5+G34))</f>
        <v/>
      </c>
      <c r="I34">
        <f>100*(Weights!$B$2*B34+Weights!$B$3*C34+Weights!$B$4*D34+Weights!$B$5*H34)</f>
        <v/>
      </c>
      <c r="J34">
        <f>I34-I31</f>
        <v/>
      </c>
      <c r="K34" t="n">
        <v>29451.855</v>
      </c>
      <c r="L34">
        <f>K34/K33-1</f>
        <v/>
      </c>
      <c r="M34">
        <f>IF(L34&lt;=Weights!$B$8,1,0)</f>
        <v/>
      </c>
    </row>
    <row r="35">
      <c r="A35" t="n">
        <v>2023</v>
      </c>
      <c r="B35" t="n">
        <v>0.434</v>
      </c>
      <c r="C35" t="n">
        <v>0.323</v>
      </c>
      <c r="D35" t="n">
        <v>0.87</v>
      </c>
      <c r="E35" t="inlineStr">
        <is>
          <t>UNDP</t>
        </is>
      </c>
      <c r="F35">
        <f>Regression!$B$3+Regression!$C$3*D35</f>
        <v/>
      </c>
      <c r="G35">
        <f>C35-F35</f>
        <v/>
      </c>
      <c r="H35">
        <f>MAX(0,MIN(1,0.5+G35))</f>
        <v/>
      </c>
      <c r="I35">
        <f>100*(Weights!$B$2*B35+Weights!$B$3*C35+Weights!$B$4*D35+Weights!$B$5*H35)</f>
        <v/>
      </c>
      <c r="J35">
        <f>I35-I32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year</t>
        </is>
      </c>
      <c r="B1" s="1" t="inlineStr">
        <is>
          <t>polyarchy</t>
        </is>
      </c>
      <c r="C1" s="1" t="inlineStr">
        <is>
          <t>libdem</t>
        </is>
      </c>
      <c r="D1" s="1" t="inlineStr">
        <is>
          <t>hdi</t>
        </is>
      </c>
      <c r="E1" s="1" t="inlineStr">
        <is>
          <t>hdi_source</t>
        </is>
      </c>
      <c r="F1" s="1" t="inlineStr">
        <is>
          <t>libdem_pred</t>
        </is>
      </c>
      <c r="G1" s="1" t="inlineStr">
        <is>
          <t>resid</t>
        </is>
      </c>
      <c r="H1" s="1" t="inlineStr">
        <is>
          <t>hdi_adj</t>
        </is>
      </c>
      <c r="I1" s="1" t="inlineStr">
        <is>
          <t>INDEX</t>
        </is>
      </c>
      <c r="J1" s="1" t="inlineStr">
        <is>
          <t>index_chg_3y</t>
        </is>
      </c>
      <c r="K1" s="1" t="inlineStr">
        <is>
          <t>gdp_pc</t>
        </is>
      </c>
      <c r="L1" s="1" t="inlineStr">
        <is>
          <t>gdp_yoy</t>
        </is>
      </c>
      <c r="M1" s="1" t="inlineStr">
        <is>
          <t>strain</t>
        </is>
      </c>
    </row>
    <row r="2">
      <c r="A2" t="n">
        <v>1990</v>
      </c>
      <c r="B2" t="n">
        <v>0.741</v>
      </c>
      <c r="C2" t="n">
        <v>0.595</v>
      </c>
      <c r="D2" t="n">
        <v>0.658</v>
      </c>
      <c r="E2" t="inlineStr">
        <is>
          <t>UNDP</t>
        </is>
      </c>
      <c r="F2">
        <f>Regression!$B$3+Regression!$C$3*D2</f>
        <v/>
      </c>
      <c r="G2">
        <f>C2-F2</f>
        <v/>
      </c>
      <c r="H2">
        <f>MAX(0,MIN(1,0.5+G2))</f>
        <v/>
      </c>
      <c r="I2">
        <f>100*(Weights!$B$2*B2+Weights!$B$3*C2+Weights!$B$4*D2+Weights!$B$5*H2)</f>
        <v/>
      </c>
      <c r="K2" t="n">
        <v>13251</v>
      </c>
    </row>
    <row r="3">
      <c r="A3" t="n">
        <v>1991</v>
      </c>
      <c r="B3" t="n">
        <v>0.742</v>
      </c>
      <c r="C3" t="n">
        <v>0.618</v>
      </c>
      <c r="D3" t="n">
        <v>0.669</v>
      </c>
      <c r="E3" t="inlineStr">
        <is>
          <t>UNDP</t>
        </is>
      </c>
      <c r="F3">
        <f>Regression!$B$3+Regression!$C$3*D3</f>
        <v/>
      </c>
      <c r="G3">
        <f>C3-F3</f>
        <v/>
      </c>
      <c r="H3">
        <f>MAX(0,MIN(1,0.5+G3))</f>
        <v/>
      </c>
      <c r="I3">
        <f>100*(Weights!$B$2*B3+Weights!$B$3*C3+Weights!$B$4*D3+Weights!$B$5*H3)</f>
        <v/>
      </c>
      <c r="K3" t="n">
        <v>14274.525</v>
      </c>
      <c r="L3">
        <f>K3/K2-1</f>
        <v/>
      </c>
      <c r="M3">
        <f>IF(L3&lt;=Weights!$B$8,1,0)</f>
        <v/>
      </c>
    </row>
    <row r="4">
      <c r="A4" t="n">
        <v>1992</v>
      </c>
      <c r="B4" t="n">
        <v>0.733</v>
      </c>
      <c r="C4" t="n">
        <v>0.609</v>
      </c>
      <c r="D4" t="n">
        <v>0.676</v>
      </c>
      <c r="E4" t="inlineStr">
        <is>
          <t>UNDP</t>
        </is>
      </c>
      <c r="F4">
        <f>Regression!$B$3+Regression!$C$3*D4</f>
        <v/>
      </c>
      <c r="G4">
        <f>C4-F4</f>
        <v/>
      </c>
      <c r="H4">
        <f>MAX(0,MIN(1,0.5+G4))</f>
        <v/>
      </c>
      <c r="I4">
        <f>100*(Weights!$B$2*B4+Weights!$B$3*C4+Weights!$B$4*D4+Weights!$B$5*H4)</f>
        <v/>
      </c>
      <c r="K4" t="n">
        <v>14901.616</v>
      </c>
      <c r="L4">
        <f>K4/K3-1</f>
        <v/>
      </c>
      <c r="M4">
        <f>IF(L4&lt;=Weights!$B$8,1,0)</f>
        <v/>
      </c>
    </row>
    <row r="5">
      <c r="A5" t="n">
        <v>1993</v>
      </c>
      <c r="B5" t="n">
        <v>0.744</v>
      </c>
      <c r="C5" t="n">
        <v>0.614</v>
      </c>
      <c r="D5" t="n">
        <v>0.68</v>
      </c>
      <c r="E5" t="inlineStr">
        <is>
          <t>UNDP</t>
        </is>
      </c>
      <c r="F5">
        <f>Regression!$B$3+Regression!$C$3*D5</f>
        <v/>
      </c>
      <c r="G5">
        <f>C5-F5</f>
        <v/>
      </c>
      <c r="H5">
        <f>MAX(0,MIN(1,0.5+G5))</f>
        <v/>
      </c>
      <c r="I5">
        <f>100*(Weights!$B$2*B5+Weights!$B$3*C5+Weights!$B$4*D5+Weights!$B$5*H5)</f>
        <v/>
      </c>
      <c r="J5">
        <f>I5-I2</f>
        <v/>
      </c>
      <c r="K5" t="n">
        <v>14693.902</v>
      </c>
      <c r="L5">
        <f>K5/K4-1</f>
        <v/>
      </c>
      <c r="M5">
        <f>IF(L5&lt;=Weights!$B$8,1,0)</f>
        <v/>
      </c>
    </row>
    <row r="6">
      <c r="A6" t="n">
        <v>1994</v>
      </c>
      <c r="B6" t="n">
        <v>0.748</v>
      </c>
      <c r="C6" t="n">
        <v>0.602</v>
      </c>
      <c r="D6" t="n">
        <v>0.681</v>
      </c>
      <c r="E6" t="inlineStr">
        <is>
          <t>UNDP</t>
        </is>
      </c>
      <c r="F6">
        <f>Regression!$B$3+Regression!$C$3*D6</f>
        <v/>
      </c>
      <c r="G6">
        <f>C6-F6</f>
        <v/>
      </c>
      <c r="H6">
        <f>MAX(0,MIN(1,0.5+G6))</f>
        <v/>
      </c>
      <c r="I6">
        <f>100*(Weights!$B$2*B6+Weights!$B$3*C6+Weights!$B$4*D6+Weights!$B$5*H6)</f>
        <v/>
      </c>
      <c r="J6">
        <f>I6-I3</f>
        <v/>
      </c>
      <c r="K6" t="n">
        <v>14129.278</v>
      </c>
      <c r="L6">
        <f>K6/K5-1</f>
        <v/>
      </c>
      <c r="M6">
        <f>IF(L6&lt;=Weights!$B$8,1,0)</f>
        <v/>
      </c>
    </row>
    <row r="7">
      <c r="A7" t="n">
        <v>1995</v>
      </c>
      <c r="B7" t="n">
        <v>0.748</v>
      </c>
      <c r="C7" t="n">
        <v>0.604</v>
      </c>
      <c r="D7" t="n">
        <v>0.6870000000000001</v>
      </c>
      <c r="E7" t="inlineStr">
        <is>
          <t>UNDP</t>
        </is>
      </c>
      <c r="F7">
        <f>Regression!$B$3+Regression!$C$3*D7</f>
        <v/>
      </c>
      <c r="G7">
        <f>C7-F7</f>
        <v/>
      </c>
      <c r="H7">
        <f>MAX(0,MIN(1,0.5+G7))</f>
        <v/>
      </c>
      <c r="I7">
        <f>100*(Weights!$B$2*B7+Weights!$B$3*C7+Weights!$B$4*D7+Weights!$B$5*H7)</f>
        <v/>
      </c>
      <c r="J7">
        <f>I7-I4</f>
        <v/>
      </c>
      <c r="K7" t="n">
        <v>14448.282</v>
      </c>
      <c r="L7">
        <f>K7/K6-1</f>
        <v/>
      </c>
      <c r="M7">
        <f>IF(L7&lt;=Weights!$B$8,1,0)</f>
        <v/>
      </c>
    </row>
    <row r="8">
      <c r="A8" t="n">
        <v>1996</v>
      </c>
      <c r="B8" t="n">
        <v>0.748</v>
      </c>
      <c r="C8" t="n">
        <v>0.604</v>
      </c>
      <c r="D8" t="n">
        <v>0.6899999999999999</v>
      </c>
      <c r="E8" t="inlineStr">
        <is>
          <t>UNDP</t>
        </is>
      </c>
      <c r="F8">
        <f>Regression!$B$3+Regression!$C$3*D8</f>
        <v/>
      </c>
      <c r="G8">
        <f>C8-F8</f>
        <v/>
      </c>
      <c r="H8">
        <f>MAX(0,MIN(1,0.5+G8))</f>
        <v/>
      </c>
      <c r="I8">
        <f>100*(Weights!$B$2*B8+Weights!$B$3*C8+Weights!$B$4*D8+Weights!$B$5*H8)</f>
        <v/>
      </c>
      <c r="J8">
        <f>I8-I5</f>
        <v/>
      </c>
      <c r="K8" t="n">
        <v>14211.81</v>
      </c>
      <c r="L8">
        <f>K8/K7-1</f>
        <v/>
      </c>
      <c r="M8">
        <f>IF(L8&lt;=Weights!$B$8,1,0)</f>
        <v/>
      </c>
    </row>
    <row r="9">
      <c r="A9" t="n">
        <v>1997</v>
      </c>
      <c r="B9" t="n">
        <v>0.746</v>
      </c>
      <c r="C9" t="n">
        <v>0.603</v>
      </c>
      <c r="D9" t="n">
        <v>0.698</v>
      </c>
      <c r="E9" t="inlineStr">
        <is>
          <t>UNDP</t>
        </is>
      </c>
      <c r="F9">
        <f>Regression!$B$3+Regression!$C$3*D9</f>
        <v/>
      </c>
      <c r="G9">
        <f>C9-F9</f>
        <v/>
      </c>
      <c r="H9">
        <f>MAX(0,MIN(1,0.5+G9))</f>
        <v/>
      </c>
      <c r="I9">
        <f>100*(Weights!$B$2*B9+Weights!$B$3*C9+Weights!$B$4*D9+Weights!$B$5*H9)</f>
        <v/>
      </c>
      <c r="J9">
        <f>I9-I6</f>
        <v/>
      </c>
      <c r="K9" t="n">
        <v>14894.337</v>
      </c>
      <c r="L9">
        <f>K9/K8-1</f>
        <v/>
      </c>
      <c r="M9">
        <f>IF(L9&lt;=Weights!$B$8,1,0)</f>
        <v/>
      </c>
    </row>
    <row r="10">
      <c r="A10" t="n">
        <v>1998</v>
      </c>
      <c r="B10" t="n">
        <v>0.73</v>
      </c>
      <c r="C10" t="n">
        <v>0.575</v>
      </c>
      <c r="D10" t="n">
        <v>0.7</v>
      </c>
      <c r="E10" t="inlineStr">
        <is>
          <t>UNDP</t>
        </is>
      </c>
      <c r="F10">
        <f>Regression!$B$3+Regression!$C$3*D10</f>
        <v/>
      </c>
      <c r="G10">
        <f>C10-F10</f>
        <v/>
      </c>
      <c r="H10">
        <f>MAX(0,MIN(1,0.5+G10))</f>
        <v/>
      </c>
      <c r="I10">
        <f>100*(Weights!$B$2*B10+Weights!$B$3*C10+Weights!$B$4*D10+Weights!$B$5*H10)</f>
        <v/>
      </c>
      <c r="J10">
        <f>I10-I7</f>
        <v/>
      </c>
      <c r="K10" t="n">
        <v>14739.051</v>
      </c>
      <c r="L10">
        <f>K10/K9-1</f>
        <v/>
      </c>
      <c r="M10">
        <f>IF(L10&lt;=Weights!$B$8,1,0)</f>
        <v/>
      </c>
    </row>
    <row r="11">
      <c r="A11" t="n">
        <v>1999</v>
      </c>
      <c r="B11" t="n">
        <v>0.665</v>
      </c>
      <c r="C11" t="n">
        <v>0.44</v>
      </c>
      <c r="D11" t="n">
        <v>0.698</v>
      </c>
      <c r="E11" t="inlineStr">
        <is>
          <t>UNDP</t>
        </is>
      </c>
      <c r="F11">
        <f>Regression!$B$3+Regression!$C$3*D11</f>
        <v/>
      </c>
      <c r="G11">
        <f>C11-F11</f>
        <v/>
      </c>
      <c r="H11">
        <f>MAX(0,MIN(1,0.5+G11))</f>
        <v/>
      </c>
      <c r="I11">
        <f>100*(Weights!$B$2*B11+Weights!$B$3*C11+Weights!$B$4*D11+Weights!$B$5*H11)</f>
        <v/>
      </c>
      <c r="J11">
        <f>I11-I8</f>
        <v/>
      </c>
      <c r="K11" t="n">
        <v>13669.484</v>
      </c>
      <c r="L11">
        <f>K11/K10-1</f>
        <v/>
      </c>
      <c r="M11">
        <f>IF(L11&lt;=Weights!$B$8,1,0)</f>
        <v/>
      </c>
    </row>
    <row r="12">
      <c r="A12" t="n">
        <v>2000</v>
      </c>
      <c r="B12" t="n">
        <v>0.573</v>
      </c>
      <c r="C12" t="n">
        <v>0.31</v>
      </c>
      <c r="D12" t="n">
        <v>0.703</v>
      </c>
      <c r="E12" t="inlineStr">
        <is>
          <t>UNDP</t>
        </is>
      </c>
      <c r="F12">
        <f>Regression!$B$3+Regression!$C$3*D12</f>
        <v/>
      </c>
      <c r="G12">
        <f>C12-F12</f>
        <v/>
      </c>
      <c r="H12">
        <f>MAX(0,MIN(1,0.5+G12))</f>
        <v/>
      </c>
      <c r="I12">
        <f>100*(Weights!$B$2*B12+Weights!$B$3*C12+Weights!$B$4*D12+Weights!$B$5*H12)</f>
        <v/>
      </c>
      <c r="J12">
        <f>I12-I9</f>
        <v/>
      </c>
      <c r="K12" t="n">
        <v>13992.608</v>
      </c>
      <c r="L12">
        <f>K12/K11-1</f>
        <v/>
      </c>
      <c r="M12">
        <f>IF(L12&lt;=Weights!$B$8,1,0)</f>
        <v/>
      </c>
    </row>
    <row r="13">
      <c r="A13" t="n">
        <v>2001</v>
      </c>
      <c r="B13" t="n">
        <v>0.529</v>
      </c>
      <c r="C13" t="n">
        <v>0.288</v>
      </c>
      <c r="D13" t="n">
        <v>0.708</v>
      </c>
      <c r="E13" t="inlineStr">
        <is>
          <t>UNDP</t>
        </is>
      </c>
      <c r="F13">
        <f>Regression!$B$3+Regression!$C$3*D13</f>
        <v/>
      </c>
      <c r="G13">
        <f>C13-F13</f>
        <v/>
      </c>
      <c r="H13">
        <f>MAX(0,MIN(1,0.5+G13))</f>
        <v/>
      </c>
      <c r="I13">
        <f>100*(Weights!$B$2*B13+Weights!$B$3*C13+Weights!$B$4*D13+Weights!$B$5*H13)</f>
        <v/>
      </c>
      <c r="J13">
        <f>I13-I10</f>
        <v/>
      </c>
      <c r="K13" t="n">
        <v>14298.037</v>
      </c>
      <c r="L13">
        <f>K13/K12-1</f>
        <v/>
      </c>
      <c r="M13">
        <f>IF(L13&lt;=Weights!$B$8,1,0)</f>
        <v/>
      </c>
    </row>
    <row r="14">
      <c r="A14" t="n">
        <v>2002</v>
      </c>
      <c r="B14" t="n">
        <v>0.495</v>
      </c>
      <c r="C14" t="n">
        <v>0.255</v>
      </c>
      <c r="D14" t="n">
        <v>0.716</v>
      </c>
      <c r="E14" t="inlineStr">
        <is>
          <t>UNDP</t>
        </is>
      </c>
      <c r="F14">
        <f>Regression!$B$3+Regression!$C$3*D14</f>
        <v/>
      </c>
      <c r="G14">
        <f>C14-F14</f>
        <v/>
      </c>
      <c r="H14">
        <f>MAX(0,MIN(1,0.5+G14))</f>
        <v/>
      </c>
      <c r="I14">
        <f>100*(Weights!$B$2*B14+Weights!$B$3*C14+Weights!$B$4*D14+Weights!$B$5*H14)</f>
        <v/>
      </c>
      <c r="J14">
        <f>I14-I11</f>
        <v/>
      </c>
      <c r="K14" t="n">
        <v>12856.049</v>
      </c>
      <c r="L14">
        <f>K14/K13-1</f>
        <v/>
      </c>
      <c r="M14">
        <f>IF(L14&lt;=Weights!$B$8,1,0)</f>
        <v/>
      </c>
    </row>
    <row r="15">
      <c r="A15" t="n">
        <v>2003</v>
      </c>
      <c r="B15" t="n">
        <v>0.487</v>
      </c>
      <c r="C15" t="n">
        <v>0.243</v>
      </c>
      <c r="D15" t="n">
        <v>0.707</v>
      </c>
      <c r="E15" t="inlineStr">
        <is>
          <t>UNDP</t>
        </is>
      </c>
      <c r="F15">
        <f>Regression!$B$3+Regression!$C$3*D15</f>
        <v/>
      </c>
      <c r="G15">
        <f>C15-F15</f>
        <v/>
      </c>
      <c r="H15">
        <f>MAX(0,MIN(1,0.5+G15))</f>
        <v/>
      </c>
      <c r="I15">
        <f>100*(Weights!$B$2*B15+Weights!$B$3*C15+Weights!$B$4*D15+Weights!$B$5*H15)</f>
        <v/>
      </c>
      <c r="J15">
        <f>I15-I12</f>
        <v/>
      </c>
      <c r="K15" t="n">
        <v>11728.183</v>
      </c>
      <c r="L15">
        <f>K15/K14-1</f>
        <v/>
      </c>
      <c r="M15">
        <f>IF(L15&lt;=Weights!$B$8,1,0)</f>
        <v/>
      </c>
    </row>
    <row r="16">
      <c r="A16" t="n">
        <v>2004</v>
      </c>
      <c r="B16" t="n">
        <v>0.475</v>
      </c>
      <c r="C16" t="n">
        <v>0.216</v>
      </c>
      <c r="D16" t="n">
        <v>0.718</v>
      </c>
      <c r="E16" t="inlineStr">
        <is>
          <t>UNDP</t>
        </is>
      </c>
      <c r="F16">
        <f>Regression!$B$3+Regression!$C$3*D16</f>
        <v/>
      </c>
      <c r="G16">
        <f>C16-F16</f>
        <v/>
      </c>
      <c r="H16">
        <f>MAX(0,MIN(1,0.5+G16))</f>
        <v/>
      </c>
      <c r="I16">
        <f>100*(Weights!$B$2*B16+Weights!$B$3*C16+Weights!$B$4*D16+Weights!$B$5*H16)</f>
        <v/>
      </c>
      <c r="J16">
        <f>I16-I13</f>
        <v/>
      </c>
      <c r="K16" t="n">
        <v>13713.045</v>
      </c>
      <c r="L16">
        <f>K16/K15-1</f>
        <v/>
      </c>
      <c r="M16">
        <f>IF(L16&lt;=Weights!$B$8,1,0)</f>
        <v/>
      </c>
    </row>
    <row r="17">
      <c r="A17" t="n">
        <v>2005</v>
      </c>
      <c r="B17" t="n">
        <v>0.474</v>
      </c>
      <c r="C17" t="n">
        <v>0.182</v>
      </c>
      <c r="D17" t="n">
        <v>0.728</v>
      </c>
      <c r="E17" t="inlineStr">
        <is>
          <t>UNDP</t>
        </is>
      </c>
      <c r="F17">
        <f>Regression!$B$3+Regression!$C$3*D17</f>
        <v/>
      </c>
      <c r="G17">
        <f>C17-F17</f>
        <v/>
      </c>
      <c r="H17">
        <f>MAX(0,MIN(1,0.5+G17))</f>
        <v/>
      </c>
      <c r="I17">
        <f>100*(Weights!$B$2*B17+Weights!$B$3*C17+Weights!$B$4*D17+Weights!$B$5*H17)</f>
        <v/>
      </c>
      <c r="J17">
        <f>I17-I14</f>
        <v/>
      </c>
      <c r="K17" t="n">
        <v>14944.34</v>
      </c>
      <c r="L17">
        <f>K17/K16-1</f>
        <v/>
      </c>
      <c r="M17">
        <f>IF(L17&lt;=Weights!$B$8,1,0)</f>
        <v/>
      </c>
    </row>
    <row r="18">
      <c r="A18" t="n">
        <v>2006</v>
      </c>
      <c r="B18" t="n">
        <v>0.45</v>
      </c>
      <c r="C18" t="n">
        <v>0.168</v>
      </c>
      <c r="D18" t="n">
        <v>0.736</v>
      </c>
      <c r="E18" t="inlineStr">
        <is>
          <t>UNDP</t>
        </is>
      </c>
      <c r="F18">
        <f>Regression!$B$3+Regression!$C$3*D18</f>
        <v/>
      </c>
      <c r="G18">
        <f>C18-F18</f>
        <v/>
      </c>
      <c r="H18">
        <f>MAX(0,MIN(1,0.5+G18))</f>
        <v/>
      </c>
      <c r="I18">
        <f>100*(Weights!$B$2*B18+Weights!$B$3*C18+Weights!$B$4*D18+Weights!$B$5*H18)</f>
        <v/>
      </c>
      <c r="J18">
        <f>I18-I15</f>
        <v/>
      </c>
      <c r="K18" t="n">
        <v>16253.686</v>
      </c>
      <c r="L18">
        <f>K18/K17-1</f>
        <v/>
      </c>
      <c r="M18">
        <f>IF(L18&lt;=Weights!$B$8,1,0)</f>
        <v/>
      </c>
    </row>
    <row r="19">
      <c r="A19" t="n">
        <v>2007</v>
      </c>
      <c r="B19" t="n">
        <v>0.434</v>
      </c>
      <c r="C19" t="n">
        <v>0.162</v>
      </c>
      <c r="D19" t="n">
        <v>0.753</v>
      </c>
      <c r="E19" t="inlineStr">
        <is>
          <t>UNDP</t>
        </is>
      </c>
      <c r="F19">
        <f>Regression!$B$3+Regression!$C$3*D19</f>
        <v/>
      </c>
      <c r="G19">
        <f>C19-F19</f>
        <v/>
      </c>
      <c r="H19">
        <f>MAX(0,MIN(1,0.5+G19))</f>
        <v/>
      </c>
      <c r="I19">
        <f>100*(Weights!$B$2*B19+Weights!$B$3*C19+Weights!$B$4*D19+Weights!$B$5*H19)</f>
        <v/>
      </c>
      <c r="J19">
        <f>I19-I16</f>
        <v/>
      </c>
      <c r="K19" t="n">
        <v>17386.086</v>
      </c>
      <c r="L19">
        <f>K19/K18-1</f>
        <v/>
      </c>
      <c r="M19">
        <f>IF(L19&lt;=Weights!$B$8,1,0)</f>
        <v/>
      </c>
    </row>
    <row r="20">
      <c r="A20" t="n">
        <v>2008</v>
      </c>
      <c r="B20" t="n">
        <v>0.432</v>
      </c>
      <c r="C20" t="n">
        <v>0.159</v>
      </c>
      <c r="D20" t="n">
        <v>0.759</v>
      </c>
      <c r="E20" t="inlineStr">
        <is>
          <t>UNDP</t>
        </is>
      </c>
      <c r="F20">
        <f>Regression!$B$3+Regression!$C$3*D20</f>
        <v/>
      </c>
      <c r="G20">
        <f>C20-F20</f>
        <v/>
      </c>
      <c r="H20">
        <f>MAX(0,MIN(1,0.5+G20))</f>
        <v/>
      </c>
      <c r="I20">
        <f>100*(Weights!$B$2*B20+Weights!$B$3*C20+Weights!$B$4*D20+Weights!$B$5*H20)</f>
        <v/>
      </c>
      <c r="J20">
        <f>I20-I17</f>
        <v/>
      </c>
      <c r="K20" t="n">
        <v>18019.09</v>
      </c>
      <c r="L20">
        <f>K20/K19-1</f>
        <v/>
      </c>
      <c r="M20">
        <f>IF(L20&lt;=Weights!$B$8,1,0)</f>
        <v/>
      </c>
    </row>
    <row r="21">
      <c r="A21" t="n">
        <v>2009</v>
      </c>
      <c r="B21" t="n">
        <v>0.431</v>
      </c>
      <c r="C21" t="n">
        <v>0.16</v>
      </c>
      <c r="D21" t="n">
        <v>0.76</v>
      </c>
      <c r="E21" t="inlineStr">
        <is>
          <t>UNDP</t>
        </is>
      </c>
      <c r="F21">
        <f>Regression!$B$3+Regression!$C$3*D21</f>
        <v/>
      </c>
      <c r="G21">
        <f>C21-F21</f>
        <v/>
      </c>
      <c r="H21">
        <f>MAX(0,MIN(1,0.5+G21))</f>
        <v/>
      </c>
      <c r="I21">
        <f>100*(Weights!$B$2*B21+Weights!$B$3*C21+Weights!$B$4*D21+Weights!$B$5*H21)</f>
        <v/>
      </c>
      <c r="J21">
        <f>I21-I18</f>
        <v/>
      </c>
      <c r="K21" t="n">
        <v>17242.945</v>
      </c>
      <c r="L21">
        <f>K21/K20-1</f>
        <v/>
      </c>
      <c r="M21">
        <f>IF(L21&lt;=Weights!$B$8,1,0)</f>
        <v/>
      </c>
    </row>
    <row r="22">
      <c r="A22" t="n">
        <v>2010</v>
      </c>
      <c r="B22" t="n">
        <v>0.419</v>
      </c>
      <c r="C22" t="n">
        <v>0.154</v>
      </c>
      <c r="D22" t="n">
        <v>0.764</v>
      </c>
      <c r="E22" t="inlineStr">
        <is>
          <t>UNDP</t>
        </is>
      </c>
      <c r="F22">
        <f>Regression!$B$3+Regression!$C$3*D22</f>
        <v/>
      </c>
      <c r="G22">
        <f>C22-F22</f>
        <v/>
      </c>
      <c r="H22">
        <f>MAX(0,MIN(1,0.5+G22))</f>
        <v/>
      </c>
      <c r="I22">
        <f>100*(Weights!$B$2*B22+Weights!$B$3*C22+Weights!$B$4*D22+Weights!$B$5*H22)</f>
        <v/>
      </c>
      <c r="J22">
        <f>I22-I19</f>
        <v/>
      </c>
      <c r="K22" t="n">
        <v>17105.58</v>
      </c>
      <c r="L22">
        <f>K22/K21-1</f>
        <v/>
      </c>
      <c r="M22">
        <f>IF(L22&lt;=Weights!$B$8,1,0)</f>
        <v/>
      </c>
    </row>
    <row r="23">
      <c r="A23" t="n">
        <v>2011</v>
      </c>
      <c r="B23" t="n">
        <v>0.415</v>
      </c>
      <c r="C23" t="n">
        <v>0.152</v>
      </c>
      <c r="D23" t="n">
        <v>0.77</v>
      </c>
      <c r="E23" t="inlineStr">
        <is>
          <t>UNDP</t>
        </is>
      </c>
      <c r="F23">
        <f>Regression!$B$3+Regression!$C$3*D23</f>
        <v/>
      </c>
      <c r="G23">
        <f>C23-F23</f>
        <v/>
      </c>
      <c r="H23">
        <f>MAX(0,MIN(1,0.5+G23))</f>
        <v/>
      </c>
      <c r="I23">
        <f>100*(Weights!$B$2*B23+Weights!$B$3*C23+Weights!$B$4*D23+Weights!$B$5*H23)</f>
        <v/>
      </c>
      <c r="J23">
        <f>I23-I20</f>
        <v/>
      </c>
      <c r="K23" t="n">
        <v>17746</v>
      </c>
      <c r="L23">
        <f>K23/K22-1</f>
        <v/>
      </c>
      <c r="M23">
        <f>IF(L23&lt;=Weights!$B$8,1,0)</f>
        <v/>
      </c>
    </row>
    <row r="24">
      <c r="A24" t="n">
        <v>2012</v>
      </c>
      <c r="B24" t="n">
        <v>0.399</v>
      </c>
      <c r="C24" t="n">
        <v>0.145</v>
      </c>
      <c r="D24" t="n">
        <v>0.772</v>
      </c>
      <c r="E24" t="inlineStr">
        <is>
          <t>UNDP</t>
        </is>
      </c>
      <c r="F24">
        <f>Regression!$B$3+Regression!$C$3*D24</f>
        <v/>
      </c>
      <c r="G24">
        <f>C24-F24</f>
        <v/>
      </c>
      <c r="H24">
        <f>MAX(0,MIN(1,0.5+G24))</f>
        <v/>
      </c>
      <c r="I24">
        <f>100*(Weights!$B$2*B24+Weights!$B$3*C24+Weights!$B$4*D24+Weights!$B$5*H24)</f>
        <v/>
      </c>
      <c r="J24">
        <f>I24-I21</f>
        <v/>
      </c>
      <c r="K24" t="n">
        <v>18486.459</v>
      </c>
      <c r="L24">
        <f>K24/K23-1</f>
        <v/>
      </c>
      <c r="M24">
        <f>IF(L24&lt;=Weights!$B$8,1,0)</f>
        <v/>
      </c>
    </row>
    <row r="25">
      <c r="A25" t="n">
        <v>2013</v>
      </c>
      <c r="B25" t="n">
        <v>0.327</v>
      </c>
      <c r="C25" t="n">
        <v>0.109</v>
      </c>
      <c r="D25" t="n">
        <v>0.773</v>
      </c>
      <c r="E25" t="inlineStr">
        <is>
          <t>UNDP</t>
        </is>
      </c>
      <c r="F25">
        <f>Regression!$B$3+Regression!$C$3*D25</f>
        <v/>
      </c>
      <c r="G25">
        <f>C25-F25</f>
        <v/>
      </c>
      <c r="H25">
        <f>MAX(0,MIN(1,0.5+G25))</f>
        <v/>
      </c>
      <c r="I25">
        <f>100*(Weights!$B$2*B25+Weights!$B$3*C25+Weights!$B$4*D25+Weights!$B$5*H25)</f>
        <v/>
      </c>
      <c r="J25">
        <f>I25-I22</f>
        <v/>
      </c>
      <c r="K25" t="n">
        <v>18484.234</v>
      </c>
      <c r="L25">
        <f>K25/K24-1</f>
        <v/>
      </c>
      <c r="M25">
        <f>IF(L25&lt;=Weights!$B$8,1,0)</f>
        <v/>
      </c>
    </row>
    <row r="26">
      <c r="A26" t="n">
        <v>2014</v>
      </c>
      <c r="B26" t="n">
        <v>0.312</v>
      </c>
      <c r="C26" t="n">
        <v>0.102</v>
      </c>
      <c r="D26" t="n">
        <v>0.77</v>
      </c>
      <c r="E26" t="inlineStr">
        <is>
          <t>UNDP</t>
        </is>
      </c>
      <c r="F26">
        <f>Regression!$B$3+Regression!$C$3*D26</f>
        <v/>
      </c>
      <c r="G26">
        <f>C26-F26</f>
        <v/>
      </c>
      <c r="H26">
        <f>MAX(0,MIN(1,0.5+G26))</f>
        <v/>
      </c>
      <c r="I26">
        <f>100*(Weights!$B$2*B26+Weights!$B$3*C26+Weights!$B$4*D26+Weights!$B$5*H26)</f>
        <v/>
      </c>
      <c r="J26">
        <f>I26-I23</f>
        <v/>
      </c>
      <c r="K26" t="n">
        <v>17579.223</v>
      </c>
      <c r="L26">
        <f>K26/K25-1</f>
        <v/>
      </c>
      <c r="M26">
        <f>IF(L26&lt;=Weights!$B$8,1,0)</f>
        <v/>
      </c>
    </row>
    <row r="27">
      <c r="A27" t="n">
        <v>2015</v>
      </c>
      <c r="B27" t="n">
        <v>0.3</v>
      </c>
      <c r="C27" t="n">
        <v>0.103</v>
      </c>
      <c r="D27" t="n">
        <v>0.768</v>
      </c>
      <c r="E27" t="inlineStr">
        <is>
          <t>UNDP</t>
        </is>
      </c>
      <c r="F27">
        <f>Regression!$B$3+Regression!$C$3*D27</f>
        <v/>
      </c>
      <c r="G27">
        <f>C27-F27</f>
        <v/>
      </c>
      <c r="H27">
        <f>MAX(0,MIN(1,0.5+G27))</f>
        <v/>
      </c>
      <c r="I27">
        <f>100*(Weights!$B$2*B27+Weights!$B$3*C27+Weights!$B$4*D27+Weights!$B$5*H27)</f>
        <v/>
      </c>
      <c r="J27">
        <f>I27-I24</f>
        <v/>
      </c>
      <c r="K27" t="n">
        <v>16333.083</v>
      </c>
      <c r="L27">
        <f>K27/K26-1</f>
        <v/>
      </c>
      <c r="M27">
        <f>IF(L27&lt;=Weights!$B$8,1,0)</f>
        <v/>
      </c>
    </row>
    <row r="28">
      <c r="A28" t="n">
        <v>2016</v>
      </c>
      <c r="B28" t="n">
        <v>0.293</v>
      </c>
      <c r="C28" t="n">
        <v>0.118</v>
      </c>
      <c r="D28" t="n">
        <v>0.761</v>
      </c>
      <c r="E28" t="inlineStr">
        <is>
          <t>UNDP</t>
        </is>
      </c>
      <c r="F28">
        <f>Regression!$B$3+Regression!$C$3*D28</f>
        <v/>
      </c>
      <c r="G28">
        <f>C28-F28</f>
        <v/>
      </c>
      <c r="H28">
        <f>MAX(0,MIN(1,0.5+G28))</f>
        <v/>
      </c>
      <c r="I28">
        <f>100*(Weights!$B$2*B28+Weights!$B$3*C28+Weights!$B$4*D28+Weights!$B$5*H28)</f>
        <v/>
      </c>
      <c r="J28">
        <f>I28-I25</f>
        <v/>
      </c>
      <c r="K28" t="n">
        <v>13428.789</v>
      </c>
      <c r="L28">
        <f>K28/K27-1</f>
        <v/>
      </c>
      <c r="M28">
        <f>IF(L28&lt;=Weights!$B$8,1,0)</f>
        <v/>
      </c>
    </row>
    <row r="29">
      <c r="A29" t="n">
        <v>2017</v>
      </c>
      <c r="B29" t="n">
        <v>0.233</v>
      </c>
      <c r="C29" t="n">
        <v>0.082</v>
      </c>
      <c r="D29" t="n">
        <v>0.749</v>
      </c>
      <c r="E29" t="inlineStr">
        <is>
          <t>UNDP</t>
        </is>
      </c>
      <c r="F29">
        <f>Regression!$B$3+Regression!$C$3*D29</f>
        <v/>
      </c>
      <c r="G29">
        <f>C29-F29</f>
        <v/>
      </c>
      <c r="H29">
        <f>MAX(0,MIN(1,0.5+G29))</f>
        <v/>
      </c>
      <c r="I29">
        <f>100*(Weights!$B$2*B29+Weights!$B$3*C29+Weights!$B$4*D29+Weights!$B$5*H29)</f>
        <v/>
      </c>
      <c r="J29">
        <f>I29-I26</f>
        <v/>
      </c>
      <c r="K29" t="n">
        <v>11363.969</v>
      </c>
      <c r="L29">
        <f>K29/K28-1</f>
        <v/>
      </c>
      <c r="M29">
        <f>IF(L29&lt;=Weights!$B$8,1,0)</f>
        <v/>
      </c>
    </row>
    <row r="30">
      <c r="A30" t="n">
        <v>2018</v>
      </c>
      <c r="B30" t="n">
        <v>0.213</v>
      </c>
      <c r="C30" t="n">
        <v>0.061</v>
      </c>
      <c r="D30" t="n">
        <v>0.741</v>
      </c>
      <c r="E30" t="inlineStr">
        <is>
          <t>UNDP</t>
        </is>
      </c>
      <c r="F30">
        <f>Regression!$B$3+Regression!$C$3*D30</f>
        <v/>
      </c>
      <c r="G30">
        <f>C30-F30</f>
        <v/>
      </c>
      <c r="H30">
        <f>MAX(0,MIN(1,0.5+G30))</f>
        <v/>
      </c>
      <c r="I30">
        <f>100*(Weights!$B$2*B30+Weights!$B$3*C30+Weights!$B$4*D30+Weights!$B$5*H30)</f>
        <v/>
      </c>
      <c r="J30">
        <f>I30-I27</f>
        <v/>
      </c>
      <c r="K30" t="n">
        <v>9446.1875</v>
      </c>
      <c r="L30">
        <f>K30/K29-1</f>
        <v/>
      </c>
      <c r="M30">
        <f>IF(L30&lt;=Weights!$B$8,1,0)</f>
        <v/>
      </c>
    </row>
    <row r="31">
      <c r="A31" t="n">
        <v>2019</v>
      </c>
      <c r="B31" t="n">
        <v>0.209</v>
      </c>
      <c r="C31" t="n">
        <v>0.06</v>
      </c>
      <c r="D31" t="n">
        <v>0.724</v>
      </c>
      <c r="E31" t="inlineStr">
        <is>
          <t>UNDP</t>
        </is>
      </c>
      <c r="F31">
        <f>Regression!$B$3+Regression!$C$3*D31</f>
        <v/>
      </c>
      <c r="G31">
        <f>C31-F31</f>
        <v/>
      </c>
      <c r="H31">
        <f>MAX(0,MIN(1,0.5+G31))</f>
        <v/>
      </c>
      <c r="I31">
        <f>100*(Weights!$B$2*B31+Weights!$B$3*C31+Weights!$B$4*D31+Weights!$B$5*H31)</f>
        <v/>
      </c>
      <c r="J31">
        <f>I31-I28</f>
        <v/>
      </c>
      <c r="K31" t="n">
        <v>7061.7617</v>
      </c>
      <c r="L31">
        <f>K31/K30-1</f>
        <v/>
      </c>
      <c r="M31">
        <f>IF(L31&lt;=Weights!$B$8,1,0)</f>
        <v/>
      </c>
    </row>
    <row r="32">
      <c r="A32" t="n">
        <v>2020</v>
      </c>
      <c r="B32" t="n">
        <v>0.206</v>
      </c>
      <c r="C32" t="n">
        <v>0.056</v>
      </c>
      <c r="D32" t="n">
        <v>0.699</v>
      </c>
      <c r="E32" t="inlineStr">
        <is>
          <t>UNDP</t>
        </is>
      </c>
      <c r="F32">
        <f>Regression!$B$3+Regression!$C$3*D32</f>
        <v/>
      </c>
      <c r="G32">
        <f>C32-F32</f>
        <v/>
      </c>
      <c r="H32">
        <f>MAX(0,MIN(1,0.5+G32))</f>
        <v/>
      </c>
      <c r="I32">
        <f>100*(Weights!$B$2*B32+Weights!$B$3*C32+Weights!$B$4*D32+Weights!$B$5*H32)</f>
        <v/>
      </c>
      <c r="J32">
        <f>I32-I29</f>
        <v/>
      </c>
      <c r="K32" t="n">
        <v>4952.53</v>
      </c>
      <c r="L32">
        <f>K32/K31-1</f>
        <v/>
      </c>
      <c r="M32">
        <f>IF(L32&lt;=Weights!$B$8,1,0)</f>
        <v/>
      </c>
    </row>
    <row r="33">
      <c r="A33" t="n">
        <v>2021</v>
      </c>
      <c r="B33" t="n">
        <v>0.215</v>
      </c>
      <c r="C33" t="n">
        <v>0.056</v>
      </c>
      <c r="D33" t="n">
        <v>0.696</v>
      </c>
      <c r="E33" t="inlineStr">
        <is>
          <t>UNDP</t>
        </is>
      </c>
      <c r="F33">
        <f>Regression!$B$3+Regression!$C$3*D33</f>
        <v/>
      </c>
      <c r="G33">
        <f>C33-F33</f>
        <v/>
      </c>
      <c r="H33">
        <f>MAX(0,MIN(1,0.5+G33))</f>
        <v/>
      </c>
      <c r="I33">
        <f>100*(Weights!$B$2*B33+Weights!$B$3*C33+Weights!$B$4*D33+Weights!$B$5*H33)</f>
        <v/>
      </c>
      <c r="J33">
        <f>I33-I30</f>
        <v/>
      </c>
      <c r="K33" t="n">
        <v>4896.802</v>
      </c>
      <c r="L33">
        <f>K33/K32-1</f>
        <v/>
      </c>
      <c r="M33">
        <f>IF(L33&lt;=Weights!$B$8,1,0)</f>
        <v/>
      </c>
    </row>
    <row r="34">
      <c r="A34" t="n">
        <v>2022</v>
      </c>
      <c r="B34" t="n">
        <v>0.209</v>
      </c>
      <c r="C34" t="n">
        <v>0.054</v>
      </c>
      <c r="D34" t="n">
        <v>0.706</v>
      </c>
      <c r="E34" t="inlineStr">
        <is>
          <t>UNDP</t>
        </is>
      </c>
      <c r="F34">
        <f>Regression!$B$3+Regression!$C$3*D34</f>
        <v/>
      </c>
      <c r="G34">
        <f>C34-F34</f>
        <v/>
      </c>
      <c r="H34">
        <f>MAX(0,MIN(1,0.5+G34))</f>
        <v/>
      </c>
      <c r="I34">
        <f>100*(Weights!$B$2*B34+Weights!$B$3*C34+Weights!$B$4*D34+Weights!$B$5*H34)</f>
        <v/>
      </c>
      <c r="J34">
        <f>I34-I31</f>
        <v/>
      </c>
      <c r="K34" t="n">
        <v>5267.1753</v>
      </c>
      <c r="L34">
        <f>K34/K33-1</f>
        <v/>
      </c>
      <c r="M34">
        <f>IF(L34&lt;=Weights!$B$8,1,0)</f>
        <v/>
      </c>
    </row>
    <row r="35">
      <c r="A35" t="n">
        <v>2023</v>
      </c>
      <c r="B35" t="n">
        <v>0.206</v>
      </c>
      <c r="C35" t="n">
        <v>0.053</v>
      </c>
      <c r="D35" t="n">
        <v>0.709</v>
      </c>
      <c r="E35" t="inlineStr">
        <is>
          <t>UNDP</t>
        </is>
      </c>
      <c r="F35">
        <f>Regression!$B$3+Regression!$C$3*D35</f>
        <v/>
      </c>
      <c r="G35">
        <f>C35-F35</f>
        <v/>
      </c>
      <c r="H35">
        <f>MAX(0,MIN(1,0.5+G35))</f>
        <v/>
      </c>
      <c r="I35">
        <f>100*(Weights!$B$2*B35+Weights!$B$3*C35+Weights!$B$4*D35+Weights!$B$5*H35)</f>
        <v/>
      </c>
      <c r="J35">
        <f>I35-I32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2026-09-30T02:33:38Z</dcterms:created>
  <dcterms:modified xmlns:dcterms="http://purl.org/dc/terms/" xmlns:xsi="http://www.w3.org/2001/XMLSchema-instance" xsi:type="dcterms:W3CDTF">2026-09-30T02:33:38Z</dcterms:modified>
</cp:coreProperties>
</file>